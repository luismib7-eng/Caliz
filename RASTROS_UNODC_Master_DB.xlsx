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_Importacion" sheetId="1" state="visible" r:id="rId1"/>
    <sheet xmlns:r="http://schemas.openxmlformats.org/officeDocument/2006/relationships" name="Listas_Catalogos" sheetId="2" state="visible" r:id="rId2"/>
    <sheet xmlns:r="http://schemas.openxmlformats.org/officeDocument/2006/relationships" name="Control_Metas_y_KPIs" sheetId="3" state="visible" r:id="rId3"/>
    <sheet xmlns:r="http://schemas.openxmlformats.org/officeDocument/2006/relationships" name="Vetting_Beneficiarios" sheetId="4" state="visible" r:id="rId4"/>
    <sheet xmlns:r="http://schemas.openxmlformats.org/officeDocument/2006/relationships" name="Respuestas_Formulario_Diagnostico" sheetId="5" state="visible" r:id="rId5"/>
    <sheet xmlns:r="http://schemas.openxmlformats.org/officeDocument/2006/relationships" name="Mesas_de_Trabajo_y_Capacitaciones" sheetId="6" state="visible" r:id="rId6"/>
    <sheet xmlns:r="http://schemas.openxmlformats.org/officeDocument/2006/relationships" name="Mapeo_Formato_VETTING_Oficial" sheetId="7" state="visible" r:id="rId7"/>
    <sheet xmlns:r="http://schemas.openxmlformats.org/officeDocument/2006/relationships" name="Pendientes_UNODC" sheetId="8" state="visible" r:id="rId8"/>
    <sheet xmlns:r="http://schemas.openxmlformats.org/officeDocument/2006/relationships" name="Ruta_Critica" sheetId="9" state="visible" r:id="rId9"/>
    <sheet xmlns:r="http://schemas.openxmlformats.org/officeDocument/2006/relationships" name="Configuracion_Dashboard" sheetId="10" state="visible" r:id="rId10"/>
    <sheet xmlns:r="http://schemas.openxmlformats.org/officeDocument/2006/relationships" name="Metadatos_Proyect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DD/MM/YYYY HH:MM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666666"/>
      <sz val="9"/>
    </font>
    <font>
      <name val="Arial"/>
      <color rgb="000000FF"/>
      <sz val="10"/>
    </font>
    <font>
      <name val="Arial"/>
      <b val="1"/>
      <color rgb="00003366"/>
      <sz val="12"/>
    </font>
    <font>
      <name val="Arial"/>
      <b val="1"/>
      <color rgb="00003366"/>
      <sz val="11"/>
    </font>
    <font>
      <name val="Arial"/>
      <color rgb="00009EDB"/>
      <sz val="10"/>
    </font>
    <font>
      <name val="Arial"/>
      <b val="1"/>
      <color rgb="00003366"/>
      <sz val="10"/>
    </font>
    <font>
      <name val="Arial"/>
      <b val="1"/>
      <color rgb="00003366"/>
      <sz val="14"/>
    </font>
  </fonts>
  <fills count="7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9C4"/>
      </patternFill>
    </fill>
    <fill>
      <patternFill patternType="solid">
        <fgColor rgb="00F2F5F7"/>
      </patternFill>
    </fill>
    <fill>
      <patternFill patternType="solid">
        <fgColor rgb="005A6B7B"/>
      </patternFill>
    </fill>
    <fill>
      <patternFill patternType="solid">
        <fgColor rgb="00009ED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9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 wrapText="1"/>
    </xf>
    <xf numFmtId="9" fontId="2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2" fillId="4" borderId="0" applyAlignment="1" pivotButton="0" quotePrefix="0" xfId="0">
      <alignment horizontal="left" vertical="top" wrapText="1"/>
    </xf>
    <xf numFmtId="0" fontId="0" fillId="4" borderId="0" pivotButton="0" quotePrefix="0" xfId="0"/>
    <xf numFmtId="1" fontId="6" fillId="4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165" fontId="2" fillId="0" borderId="1" applyAlignment="1" pivotButton="0" quotePrefix="0" xfId="0">
      <alignment horizontal="left" vertical="top" wrapText="1"/>
    </xf>
    <xf numFmtId="0" fontId="1" fillId="5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166" fontId="0" fillId="0" borderId="0" pivotButton="0" quotePrefix="0" xfId="0"/>
    <xf numFmtId="0" fontId="2" fillId="0" borderId="0" pivotButton="0" quotePrefix="0" xfId="0"/>
    <xf numFmtId="1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165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3">
    <dxf>
      <font>
        <name val="Arial"/>
        <color rgb="00FFFFFF"/>
      </font>
      <fill>
        <patternFill patternType="solid">
          <fgColor rgb="001E8E5A"/>
        </patternFill>
      </fill>
    </dxf>
    <dxf>
      <fill>
        <patternFill patternType="solid">
          <fgColor rgb="00F5A623"/>
        </patternFill>
      </fill>
    </dxf>
    <dxf>
      <font>
        <name val="Arial"/>
        <color rgb="00FFFFFF"/>
      </font>
      <fill>
        <patternFill patternType="solid">
          <fgColor rgb="00D0021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RASTROS · UNODC / Gobierno del Estado de Jalisco</t>
        </is>
      </c>
    </row>
    <row r="2">
      <c r="A2" s="1" t="inlineStr">
        <is>
          <t>Estructura de la base master — libro de importación</t>
        </is>
      </c>
    </row>
    <row r="3">
      <c r="A3" s="2" t="inlineStr"/>
    </row>
    <row r="4">
      <c r="A4" s="3" t="inlineStr">
        <is>
          <t>CÓMO IMPORTAR A GOOGLE SHEETS</t>
        </is>
      </c>
    </row>
    <row r="5">
      <c r="A5" s="2" t="inlineStr">
        <is>
          <t>1. Abra el libro RASTROS_UNODC_Master_DB en Google Sheets.</t>
        </is>
      </c>
    </row>
    <row r="6">
      <c r="A6" s="2" t="inlineStr">
        <is>
          <t>2. Menú Archivo ▸ Importar ▸ Subir, y seleccione este archivo.</t>
        </is>
      </c>
    </row>
    <row r="7">
      <c r="A7" s="2" t="inlineStr">
        <is>
          <t>3. En 'Ubicación de importación' elija INSERTAR HOJAS NUEVAS.</t>
        </is>
      </c>
    </row>
    <row r="8">
      <c r="A8" s="2" t="inlineStr">
        <is>
          <t>4. No elija 'Reemplazar hoja': eso borraría lo que ya tiene capturado.</t>
        </is>
      </c>
    </row>
    <row r="9">
      <c r="A9" s="2" t="inlineStr">
        <is>
          <t>5. Al terminar, borre la Hoja 1 anterior y esta pestaña LEEME_Importacion.</t>
        </is>
      </c>
    </row>
    <row r="10">
      <c r="A10" s="2" t="inlineStr"/>
    </row>
    <row r="11">
      <c r="A11" s="3" t="inlineStr">
        <is>
          <t>QUÉ SE CAPTURA A MANO</t>
        </is>
      </c>
    </row>
    <row r="12">
      <c r="A12" s="2" t="inlineStr">
        <is>
          <t>· Celdas en AZUL: datos de ejemplo, sustitúyalos por los reales.</t>
        </is>
      </c>
    </row>
    <row r="13">
      <c r="A13" s="2" t="inlineStr">
        <is>
          <t>· Celdas AMARILLAS en Control_Metas_y_KPIs: avance real de las metas 1, 3 y 4.</t>
        </is>
      </c>
    </row>
    <row r="14">
      <c r="A14" s="2" t="inlineStr">
        <is>
          <t>· Todo lo demás se calcula solo. No sobrescriba las columnas de fórmula.</t>
        </is>
      </c>
    </row>
    <row r="15">
      <c r="A15" s="2" t="inlineStr"/>
    </row>
    <row r="16">
      <c r="A16" s="3" t="inlineStr">
        <is>
          <t>COLUMNAS QUE NO DEBE RENOMBRAR</t>
        </is>
      </c>
    </row>
    <row r="17">
      <c r="A17" s="2" t="inlineStr">
        <is>
          <t>El tablero busca los encabezados por su nombre exacto, con guion bajo y sin acentos</t>
        </is>
      </c>
    </row>
    <row r="18">
      <c r="A18" s="2" t="inlineStr">
        <is>
          <t>añadidos: ID_Beneficiario, Nombre, Cargo, Dependencia, Tipo_Rol, Correo,</t>
        </is>
      </c>
    </row>
    <row r="19">
      <c r="A19" s="2" t="inlineStr">
        <is>
          <t>Estatus_Vetting, Fecha_Limite_Envio, Observaciones. Si los cambia, dejará de leerlos.</t>
        </is>
      </c>
    </row>
    <row r="20">
      <c r="A20" s="2" t="inlineStr"/>
    </row>
    <row r="21">
      <c r="A21" s="3" t="inlineStr">
        <is>
          <t>PESTAÑAS DEL LIBRO</t>
        </is>
      </c>
    </row>
    <row r="22">
      <c r="A22" s="2" t="inlineStr">
        <is>
          <t>Control_Metas_y_KPIs — 4 metas del proyecto e indicadores operativos calculados.</t>
        </is>
      </c>
    </row>
    <row r="23">
      <c r="A23" s="2" t="inlineStr">
        <is>
          <t>Vetting_Beneficiarios — control de propuestas y su estatus ante la Embajada.</t>
        </is>
      </c>
    </row>
    <row r="24">
      <c r="A24" s="2" t="inlineStr">
        <is>
          <t>Respuestas_Formulario_Diagnostico — 67 preguntas en 8 secciones.</t>
        </is>
      </c>
    </row>
    <row r="25">
      <c r="A25" s="2" t="inlineStr">
        <is>
          <t>Mesas_de_Trabajo_y_Capacitaciones — logística y acuerdos de cada evento.</t>
        </is>
      </c>
    </row>
    <row r="26">
      <c r="A26" s="2" t="inlineStr">
        <is>
          <t>Listas_Catalogos — alimenta las listas desplegables. No la borre.</t>
        </is>
      </c>
    </row>
    <row r="27">
      <c r="A27" s="2" t="inlineStr">
        <is>
          <t>Mapeo_Formato_VETTING_Oficial — espejo de las 31 columnas del formato de la Embajada.</t>
        </is>
      </c>
    </row>
    <row r="28">
      <c r="A28" s="2" t="inlineStr">
        <is>
          <t>Pendientes_UNODC — pendientes abiertos; los marcados Resuelto salen del panel.</t>
        </is>
      </c>
    </row>
    <row r="29">
      <c r="A29" s="2" t="inlineStr">
        <is>
          <t>Ruta_Critica — hitos del proyecto, en el orden en que aparecen aquí.</t>
        </is>
      </c>
    </row>
    <row r="30">
      <c r="A30" s="2" t="inlineStr">
        <is>
          <t>Configuracion_Dashboard — cuota, metas y umbrales de alerta del panel.</t>
        </is>
      </c>
    </row>
    <row r="31">
      <c r="A31" s="2" t="inlineStr">
        <is>
          <t>Metadatos_Proyecto — títulos y textos del encabezado del panel.</t>
        </is>
      </c>
    </row>
    <row r="32">
      <c r="A32" s="2" t="inlineStr"/>
    </row>
    <row r="33">
      <c r="A33" s="3" t="inlineStr">
        <is>
          <t>FUENTES</t>
        </is>
      </c>
    </row>
    <row r="34">
      <c r="A34" s="2" t="inlineStr">
        <is>
          <t>Metas y objetivos: One Pager RASTROS (UNODC).</t>
        </is>
      </c>
    </row>
    <row r="35">
      <c r="A35" s="2" t="inlineStr">
        <is>
          <t>67 preguntas: Formulario RASTROS_final_Jalisco.</t>
        </is>
      </c>
    </row>
    <row r="36">
      <c r="A36" s="2" t="inlineStr">
        <is>
          <t>31 columnas de vetting: Formato VETTING 2026.xlsx, pestaña Participants.</t>
        </is>
      </c>
    </row>
    <row r="37">
      <c r="A37" s="2" t="inlineStr">
        <is>
          <t>Fechas y acuerdos logísticos: minuta de la reunión con UNODC del 22/07/2026.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</cols>
  <sheetData>
    <row r="1" ht="42" customHeight="1">
      <c r="A1" s="4" t="inlineStr">
        <is>
          <t>Tipo_Rol</t>
        </is>
      </c>
      <c r="B1" s="4" t="inlineStr">
        <is>
          <t>Estatus_Vetting</t>
        </is>
      </c>
      <c r="C1" s="4" t="inlineStr">
        <is>
          <t>Tipo_Evento</t>
        </is>
      </c>
      <c r="D1" s="4" t="inlineStr">
        <is>
          <t>Estatus_Catering</t>
        </is>
      </c>
      <c r="E1" s="4" t="inlineStr">
        <is>
          <t>Estatus_Validacion</t>
        </is>
      </c>
      <c r="F1" s="4" t="inlineStr">
        <is>
          <t>Responsable</t>
        </is>
      </c>
      <c r="G1" s="4" t="inlineStr">
        <is>
          <t>Estatus_Pendiente</t>
        </is>
      </c>
      <c r="H1" s="4" t="inlineStr">
        <is>
          <t>Nivel_Alerta</t>
        </is>
      </c>
      <c r="I1" s="4" t="inlineStr">
        <is>
          <t>Estatus_Hito</t>
        </is>
      </c>
      <c r="J1" s="4" t="inlineStr">
        <is>
          <t>Tipo_Parametro</t>
        </is>
      </c>
      <c r="K1" s="4" t="inlineStr">
        <is>
          <t>Dependencia</t>
        </is>
      </c>
      <c r="L1" s="4" t="inlineStr">
        <is>
          <t>Dependencia_Abrev</t>
        </is>
      </c>
    </row>
    <row r="2">
      <c r="A2" s="5" t="inlineStr">
        <is>
          <t>Tomador de decisiones</t>
        </is>
      </c>
      <c r="B2" s="5" t="inlineStr">
        <is>
          <t>Pendiente</t>
        </is>
      </c>
      <c r="C2" s="5" t="inlineStr">
        <is>
          <t>Mesa de Trabajo</t>
        </is>
      </c>
      <c r="D2" s="5" t="inlineStr">
        <is>
          <t>No requerido</t>
        </is>
      </c>
      <c r="E2" s="5" t="inlineStr">
        <is>
          <t>Recibida</t>
        </is>
      </c>
      <c r="F2" s="5" t="inlineStr">
        <is>
          <t>UNODC</t>
        </is>
      </c>
      <c r="G2" s="5" t="inlineStr">
        <is>
          <t>Pendiente</t>
        </is>
      </c>
      <c r="H2" s="5" t="inlineStr">
        <is>
          <t>Crítica</t>
        </is>
      </c>
      <c r="I2" s="5" t="inlineStr">
        <is>
          <t>Futuro</t>
        </is>
      </c>
      <c r="J2" s="5" t="inlineStr">
        <is>
          <t>Número</t>
        </is>
      </c>
      <c r="K2" s="5" t="inlineStr">
        <is>
          <t>Coordinación General Estratégica de Seguridad (CGES)</t>
        </is>
      </c>
      <c r="L2" s="5" t="inlineStr">
        <is>
          <t>CGES</t>
        </is>
      </c>
    </row>
    <row r="3">
      <c r="A3" s="5" t="inlineStr">
        <is>
          <t>Operativo</t>
        </is>
      </c>
      <c r="B3" s="5" t="inlineStr">
        <is>
          <t>Enviado Embajada</t>
        </is>
      </c>
      <c r="C3" s="5" t="inlineStr">
        <is>
          <t>Capacitación</t>
        </is>
      </c>
      <c r="D3" s="5" t="inlineStr">
        <is>
          <t>Solicitado a UNODC</t>
        </is>
      </c>
      <c r="E3" s="5" t="inlineStr">
        <is>
          <t>En revisión</t>
        </is>
      </c>
      <c r="F3" s="5" t="inlineStr">
        <is>
          <t>CGES</t>
        </is>
      </c>
      <c r="G3" s="5" t="inlineStr">
        <is>
          <t>En Gestión</t>
        </is>
      </c>
      <c r="H3" s="5" t="inlineStr">
        <is>
          <t>Atención</t>
        </is>
      </c>
      <c r="I3" s="5" t="inlineStr">
        <is>
          <t>En Curso</t>
        </is>
      </c>
      <c r="J3" s="5" t="inlineStr">
        <is>
          <t>Texto</t>
        </is>
      </c>
      <c r="K3" s="5" t="inlineStr">
        <is>
          <t>Secretaría de Seguridad del Estado de Jalisco</t>
        </is>
      </c>
      <c r="L3" s="5" t="inlineStr">
        <is>
          <t>Secretaría de Seguridad</t>
        </is>
      </c>
    </row>
    <row r="4">
      <c r="B4" s="5" t="inlineStr">
        <is>
          <t>Aprobado</t>
        </is>
      </c>
      <c r="D4" s="5" t="inlineStr">
        <is>
          <t>Confirmado</t>
        </is>
      </c>
      <c r="E4" s="5" t="inlineStr">
        <is>
          <t>Validada</t>
        </is>
      </c>
      <c r="F4" s="5" t="inlineStr">
        <is>
          <t>Secretaría de Seguridad</t>
        </is>
      </c>
      <c r="G4" s="5" t="inlineStr">
        <is>
          <t>Resuelto</t>
        </is>
      </c>
      <c r="H4" s="5" t="inlineStr">
        <is>
          <t>OK</t>
        </is>
      </c>
      <c r="I4" s="5" t="inlineStr">
        <is>
          <t>Completado</t>
        </is>
      </c>
      <c r="J4" s="5" t="inlineStr">
        <is>
          <t>Fecha</t>
        </is>
      </c>
      <c r="K4" s="5" t="inlineStr">
        <is>
          <t>Fiscalía del Estado de Jalisco</t>
        </is>
      </c>
      <c r="L4" s="5" t="inlineStr">
        <is>
          <t>Fiscalía del Estado</t>
        </is>
      </c>
    </row>
    <row r="5">
      <c r="D5" s="5" t="inlineStr">
        <is>
          <t>Cubierto</t>
        </is>
      </c>
      <c r="E5" s="5" t="inlineStr">
        <is>
          <t>Descartada</t>
        </is>
      </c>
      <c r="F5" s="5" t="inlineStr">
        <is>
          <t>Fiscalía del Estado</t>
        </is>
      </c>
      <c r="J5" s="5" t="inlineStr">
        <is>
          <t>Booleano</t>
        </is>
      </c>
      <c r="K5" s="5" t="inlineStr">
        <is>
          <t>Fiscalía Especializada en Trata de Personas</t>
        </is>
      </c>
      <c r="L5" s="5" t="inlineStr">
        <is>
          <t>Fiscalía Especializada</t>
        </is>
      </c>
    </row>
    <row r="6">
      <c r="F6" s="5" t="inlineStr">
        <is>
          <t>Fiscalía Especializada</t>
        </is>
      </c>
      <c r="K6" s="5" t="inlineStr">
        <is>
          <t>Ministerio Público</t>
        </is>
      </c>
      <c r="L6" s="5" t="inlineStr">
        <is>
          <t>Ministerio Público</t>
        </is>
      </c>
    </row>
    <row r="7">
      <c r="F7" s="5" t="inlineStr">
        <is>
          <t>Policía Cibernética</t>
        </is>
      </c>
      <c r="K7" s="5" t="inlineStr">
        <is>
          <t>Policía Cibernética</t>
        </is>
      </c>
      <c r="L7" s="5" t="inlineStr">
        <is>
          <t>Policía Cibernética</t>
        </is>
      </c>
    </row>
    <row r="8">
      <c r="F8" s="5" t="inlineStr">
        <is>
          <t>Embajada de EE. UU.</t>
        </is>
      </c>
      <c r="K8" s="5" t="inlineStr">
        <is>
          <t>Perito o personal experto técnico</t>
        </is>
      </c>
      <c r="L8" s="5" t="inlineStr">
        <is>
          <t>Peritos</t>
        </is>
      </c>
    </row>
    <row r="9">
      <c r="F9" s="5" t="inlineStr">
        <is>
          <t>Otra</t>
        </is>
      </c>
      <c r="K9" s="5" t="inlineStr">
        <is>
          <t>Comisión Ejecutiva Estatal de Atención a Víctimas</t>
        </is>
      </c>
      <c r="L9" s="5" t="inlineStr">
        <is>
          <t>CEEAV</t>
        </is>
      </c>
    </row>
    <row r="10">
      <c r="K10" s="5" t="inlineStr">
        <is>
          <t>Comisión de Búsqueda de Personas</t>
        </is>
      </c>
      <c r="L10" s="5" t="inlineStr">
        <is>
          <t>Comisión de Búsqueda</t>
        </is>
      </c>
    </row>
    <row r="11">
      <c r="K11" s="5" t="inlineStr">
        <is>
          <t>Otra</t>
        </is>
      </c>
      <c r="L11" s="5" t="inlineStr">
        <is>
          <t>Otra</t>
        </is>
      </c>
    </row>
    <row r="14">
      <c r="A14" s="6" t="inlineStr">
        <is>
          <t>Catálogos que alimentan las listas desplegables. Si agrega valores, amplíe también el rango de validación en la pestaña correspondiente.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52" customWidth="1" min="3" max="3"/>
    <col width="15" customWidth="1" min="4" max="4"/>
    <col width="15" customWidth="1" min="5" max="5"/>
    <col width="10" customWidth="1" min="6" max="6"/>
    <col width="12" customWidth="1" min="7" max="7"/>
    <col width="14" customWidth="1" min="8" max="8"/>
    <col width="40" customWidth="1" min="9" max="9"/>
  </cols>
  <sheetData>
    <row r="1" ht="42" customHeight="1">
      <c r="A1" s="4" t="inlineStr">
        <is>
          <t>ID_Meta</t>
        </is>
      </c>
      <c r="B1" s="4" t="inlineStr">
        <is>
          <t>Meta</t>
        </is>
      </c>
      <c r="C1" s="4" t="inlineStr">
        <is>
          <t>Descripción</t>
        </is>
      </c>
      <c r="D1" s="4" t="inlineStr">
        <is>
          <t>Objetivo_Global</t>
        </is>
      </c>
      <c r="E1" s="4" t="inlineStr">
        <is>
          <t>Objetivo_Jalisco</t>
        </is>
      </c>
      <c r="F1" s="4" t="inlineStr">
        <is>
          <t>Real</t>
        </is>
      </c>
      <c r="G1" s="4" t="inlineStr">
        <is>
          <t>Avance_%</t>
        </is>
      </c>
      <c r="H1" s="4" t="inlineStr">
        <is>
          <t>Semáforo</t>
        </is>
      </c>
      <c r="I1" s="4" t="inlineStr">
        <is>
          <t>Fuente_de_Verificación</t>
        </is>
      </c>
    </row>
    <row r="2" ht="46" customHeight="1">
      <c r="A2" s="7" t="inlineStr">
        <is>
          <t>M1</t>
        </is>
      </c>
      <c r="B2" s="8" t="inlineStr">
        <is>
          <t>Meta 1: Programas Diseñados</t>
        </is>
      </c>
      <c r="C2" s="8" t="inlineStr">
        <is>
          <t>Programas de formación diseñados e implementados (1 por país: México/Jalisco, Guatemala, Perú)</t>
        </is>
      </c>
      <c r="D2" s="7" t="n">
        <v>3</v>
      </c>
      <c r="E2" s="7" t="n">
        <v>1</v>
      </c>
      <c r="F2" s="9" t="n">
        <v>0</v>
      </c>
      <c r="G2" s="10">
        <f>IF(D2=0,0,F2/D2)</f>
        <v/>
      </c>
      <c r="H2" s="7">
        <f>IF(G2&gt;=1,"CUMPLIDA",IF(G2&gt;=0.5,"EN AVANCE",IF(G2&gt;0,"INICIADA","SIN AVANCE")))</f>
        <v/>
      </c>
      <c r="I2" s="8" t="inlineStr">
        <is>
          <t>Documentos de programa validados por UNODC</t>
        </is>
      </c>
    </row>
    <row r="3" ht="46" customHeight="1">
      <c r="A3" s="7" t="inlineStr">
        <is>
          <t>M2</t>
        </is>
      </c>
      <c r="B3" s="8" t="inlineStr">
        <is>
          <t>Meta 2: Funcionarios Capacitados</t>
        </is>
      </c>
      <c r="C3" s="8" t="inlineStr">
        <is>
          <t>Funcionarios de fuerzas del orden y fiscalías capacitados en trata vinculada a estafas en línea</t>
        </is>
      </c>
      <c r="D3" s="7" t="n">
        <v>75</v>
      </c>
      <c r="E3" s="7" t="n">
        <v>25</v>
      </c>
      <c r="F3" s="7">
        <f>SUMIF(Mesas_de_Trabajo_y_Capacitaciones!$B$2:$B$61,"Capacitación",Mesas_de_Trabajo_y_Capacitaciones!$F$2:$F$61)</f>
        <v/>
      </c>
      <c r="G3" s="10">
        <f>IF(D3=0,0,F3/D3)</f>
        <v/>
      </c>
      <c r="H3" s="7">
        <f>IF(G3&gt;=1,"CUMPLIDA",IF(G3&gt;=0.5,"EN AVANCE",IF(G3&gt;0,"INICIADA","SIN AVANCE")))</f>
        <v/>
      </c>
      <c r="I3" s="8" t="inlineStr">
        <is>
          <t>Listas de asistencia — pestaña Mesas_de_Trabajo_y_Capacitaciones</t>
        </is>
      </c>
    </row>
    <row r="4" ht="46" customHeight="1">
      <c r="A4" s="7" t="inlineStr">
        <is>
          <t>M3</t>
        </is>
      </c>
      <c r="B4" s="8" t="inlineStr">
        <is>
          <t>Meta 3: Investigaciones TIP / OSO</t>
        </is>
      </c>
      <c r="C4" s="8" t="inlineStr">
        <is>
          <t>Casos de trata de personas vinculados a operaciones de estafa en línea investigados (5 por país)</t>
        </is>
      </c>
      <c r="D4" s="7" t="n">
        <v>15</v>
      </c>
      <c r="E4" s="7" t="n">
        <v>5</v>
      </c>
      <c r="F4" s="9" t="n">
        <v>0</v>
      </c>
      <c r="G4" s="10">
        <f>IF(D4=0,0,F4/D4)</f>
        <v/>
      </c>
      <c r="H4" s="7">
        <f>IF(G4&gt;=1,"CUMPLIDA",IF(G4&gt;=0.5,"EN AVANCE",IF(G4&gt;0,"INICIADA","SIN AVANCE")))</f>
        <v/>
      </c>
      <c r="I4" s="8" t="inlineStr">
        <is>
          <t>Reporte de la Fiscalía Especializada / carpetas de investigación</t>
        </is>
      </c>
    </row>
    <row r="5" ht="46" customHeight="1">
      <c r="A5" s="7" t="inlineStr">
        <is>
          <t>M4</t>
        </is>
      </c>
      <c r="B5" s="8" t="inlineStr">
        <is>
          <t>Meta 4: Redes de Formadores y Materiales</t>
        </is>
      </c>
      <c r="C5" s="8" t="inlineStr">
        <is>
          <t>Redes ToT constituidas (3) y materiales de formación desarrollados (15)</t>
        </is>
      </c>
      <c r="D5" s="7" t="n">
        <v>3</v>
      </c>
      <c r="E5" s="7" t="n">
        <v>1</v>
      </c>
      <c r="F5" s="9" t="n">
        <v>0</v>
      </c>
      <c r="G5" s="10">
        <f>IF(D5=0,0,F5/D5)</f>
        <v/>
      </c>
      <c r="H5" s="7">
        <f>IF(G5&gt;=1,"CUMPLIDA",IF(G5&gt;=0.5,"EN AVANCE",IF(G5&gt;0,"INICIADA","SIN AVANCE")))</f>
        <v/>
      </c>
      <c r="I5" s="8" t="inlineStr">
        <is>
          <t>Actas de constitución de red ToT y repositorio de materiales</t>
        </is>
      </c>
    </row>
    <row r="7">
      <c r="A7" s="11" t="inlineStr">
        <is>
          <t>INDICADORES OPERATIVOS — FASE ACTUAL</t>
        </is>
      </c>
    </row>
    <row r="8">
      <c r="A8" s="12" t="inlineStr">
        <is>
          <t>Beneficiarios registrados para vetting</t>
        </is>
      </c>
      <c r="B8" s="13" t="n"/>
      <c r="C8" s="14">
        <f>COUNTA(Vetting_Beneficiarios!$B$2:$B$201)</f>
        <v/>
      </c>
    </row>
    <row r="9">
      <c r="A9" s="12" t="inlineStr">
        <is>
          <t>Vetting pendiente</t>
        </is>
      </c>
      <c r="B9" s="13" t="n"/>
      <c r="C9" s="14">
        <f>COUNTIF(Vetting_Beneficiarios!$G$2:$G$201,"Pendiente")</f>
        <v/>
      </c>
    </row>
    <row r="10">
      <c r="A10" s="12" t="inlineStr">
        <is>
          <t>Vetting enviado a la Embajada</t>
        </is>
      </c>
      <c r="B10" s="13" t="n"/>
      <c r="C10" s="14">
        <f>COUNTIF(Vetting_Beneficiarios!$G$2:$G$201,"Enviado Embajada")</f>
        <v/>
      </c>
    </row>
    <row r="11">
      <c r="A11" s="12" t="inlineStr">
        <is>
          <t>Vetting aprobado</t>
        </is>
      </c>
      <c r="B11" s="13" t="n"/>
      <c r="C11" s="14">
        <f>COUNTIF(Vetting_Beneficiarios!$G$2:$G$201,"Aprobado")</f>
        <v/>
      </c>
    </row>
    <row r="12">
      <c r="A12" s="12" t="inlineStr">
        <is>
          <t>Tomadores de decisiones convocados</t>
        </is>
      </c>
      <c r="B12" s="13" t="n"/>
      <c r="C12" s="14">
        <f>COUNTIF(Vetting_Beneficiarios!$E$2:$E$201,"Tomador de decisiones")</f>
        <v/>
      </c>
    </row>
    <row r="13">
      <c r="A13" s="12" t="inlineStr">
        <is>
          <t>Dependencias participantes</t>
        </is>
      </c>
      <c r="B13" s="13" t="n"/>
      <c r="C13" s="14">
        <f>SUMPRODUCT((Vetting_Beneficiarios!$D$2:$D$201&lt;&gt;"")/COUNTIF(Vetting_Beneficiarios!$D$2:$D$201,Vetting_Beneficiarios!$D$2:$D$201&amp;""))</f>
        <v/>
      </c>
    </row>
    <row r="14">
      <c r="A14" s="12" t="inlineStr">
        <is>
          <t>Cuestionarios de diagnóstico recibidos</t>
        </is>
      </c>
      <c r="B14" s="13" t="n"/>
      <c r="C14" s="14">
        <f>SUMPRODUCT(--(Respuestas_Formulario_Diagnostico!$B$3:$B$202&lt;&gt;""))</f>
        <v/>
      </c>
    </row>
    <row r="15">
      <c r="A15" s="12" t="inlineStr">
        <is>
          <t>Cuestionarios validados</t>
        </is>
      </c>
      <c r="B15" s="13" t="n"/>
      <c r="C15" s="14">
        <f>COUNTIF(Respuestas_Formulario_Diagnostico!$C$3:$C$202,"Validada")</f>
        <v/>
      </c>
    </row>
    <row r="16">
      <c r="A16" s="12" t="inlineStr">
        <is>
          <t>Días restantes para la fecha límite de vetting</t>
        </is>
      </c>
      <c r="B16" s="13" t="n"/>
      <c r="C16" s="14">
        <f>DATE(2026,7,29)-TODAY()</f>
        <v/>
      </c>
    </row>
    <row r="17">
      <c r="A17" s="12" t="inlineStr">
        <is>
          <t>Mesas de trabajo y capacitaciones programadas</t>
        </is>
      </c>
      <c r="B17" s="13" t="n"/>
      <c r="C17" s="14">
        <f>COUNTA(Mesas_de_Trabajo_y_Capacitaciones!$B$2:$B$61)</f>
        <v/>
      </c>
    </row>
    <row r="19">
      <c r="A19" s="6" t="inlineStr">
        <is>
          <t>Celdas amarillas = captura manual. Las demás se calculan solas. Meta 2 suma los asistentes de los eventos tipo Capacitación. Objetivos tomados del One Pager RASTROS proporcionado por UNODC.</t>
        </is>
      </c>
    </row>
  </sheetData>
  <mergeCells count="11">
    <mergeCell ref="A16:B16"/>
    <mergeCell ref="A19:I19"/>
    <mergeCell ref="A15:B15"/>
    <mergeCell ref="A11:B11"/>
    <mergeCell ref="A10:B10"/>
    <mergeCell ref="A13:B13"/>
    <mergeCell ref="A14:B14"/>
    <mergeCell ref="A17:B17"/>
    <mergeCell ref="A9:B9"/>
    <mergeCell ref="A8:B8"/>
    <mergeCell ref="A12:B12"/>
  </mergeCells>
  <conditionalFormatting sqref="H2:H5">
    <cfRule type="cellIs" priority="1" operator="equal" dxfId="0">
      <formula>"CUMPLIDA"</formula>
    </cfRule>
    <cfRule type="cellIs" priority="2" operator="equal" dxfId="1">
      <formula>"EN AVANCE"</formula>
    </cfRule>
    <cfRule type="cellIs" priority="3" operator="equal" dxfId="2">
      <formula>"SIN AVANCE"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30" customWidth="1" min="3" max="3"/>
    <col width="40" customWidth="1" min="4" max="4"/>
    <col width="22" customWidth="1" min="5" max="5"/>
    <col width="30" customWidth="1" min="6" max="6"/>
    <col width="20" customWidth="1" min="7" max="7"/>
    <col width="18" customWidth="1" min="8" max="8"/>
    <col width="40" customWidth="1" min="9" max="9"/>
  </cols>
  <sheetData>
    <row r="1" ht="42" customHeight="1">
      <c r="A1" s="4" t="inlineStr">
        <is>
          <t>ID_Beneficiario</t>
        </is>
      </c>
      <c r="B1" s="4" t="inlineStr">
        <is>
          <t>Nombre</t>
        </is>
      </c>
      <c r="C1" s="4" t="inlineStr">
        <is>
          <t>Cargo</t>
        </is>
      </c>
      <c r="D1" s="4" t="inlineStr">
        <is>
          <t>Dependencia</t>
        </is>
      </c>
      <c r="E1" s="4" t="inlineStr">
        <is>
          <t>Tipo_Rol</t>
        </is>
      </c>
      <c r="F1" s="4" t="inlineStr">
        <is>
          <t>Correo</t>
        </is>
      </c>
      <c r="G1" s="4" t="inlineStr">
        <is>
          <t>Estatus_Vetting</t>
        </is>
      </c>
      <c r="H1" s="4" t="inlineStr">
        <is>
          <t>Fecha_Limite_Envio</t>
        </is>
      </c>
      <c r="I1" s="4" t="inlineStr">
        <is>
          <t>Observaciones</t>
        </is>
      </c>
    </row>
    <row r="2">
      <c r="A2" s="15">
        <f>IF(LEN(B2)=0,"","RAS-VET-"&amp;TEXT(ROW()-1,"000"))</f>
        <v/>
      </c>
      <c r="B2" s="8" t="inlineStr">
        <is>
          <t>Por designar</t>
        </is>
      </c>
      <c r="C2" s="8" t="inlineStr">
        <is>
          <t>Enlace institucional</t>
        </is>
      </c>
      <c r="D2" s="8" t="inlineStr">
        <is>
          <t>Coordinación General Estratégica de Seguridad (CGES)</t>
        </is>
      </c>
      <c r="E2" s="8" t="inlineStr">
        <is>
          <t>Tomador de decisiones</t>
        </is>
      </c>
      <c r="F2" s="16" t="n"/>
      <c r="G2" s="8" t="inlineStr">
        <is>
          <t>Pendiente</t>
        </is>
      </c>
      <c r="H2" s="17" t="n">
        <v>46232</v>
      </c>
      <c r="I2" s="8" t="n"/>
    </row>
    <row r="3">
      <c r="A3" s="15">
        <f>IF(LEN(B3)=0,"","RAS-VET-"&amp;TEXT(ROW()-1,"000"))</f>
        <v/>
      </c>
      <c r="B3" s="8" t="inlineStr">
        <is>
          <t>Por designar</t>
        </is>
      </c>
      <c r="C3" s="8" t="inlineStr">
        <is>
          <t>Titular o representante</t>
        </is>
      </c>
      <c r="D3" s="8" t="inlineStr">
        <is>
          <t>Secretaría de Seguridad del Estado de Jalisco</t>
        </is>
      </c>
      <c r="E3" s="8" t="inlineStr">
        <is>
          <t>Tomador de decisiones</t>
        </is>
      </c>
      <c r="F3" s="16" t="n"/>
      <c r="G3" s="8" t="inlineStr">
        <is>
          <t>Pendiente</t>
        </is>
      </c>
      <c r="H3" s="17" t="n">
        <v>46232</v>
      </c>
      <c r="I3" s="8" t="n"/>
    </row>
    <row r="4">
      <c r="A4" s="15">
        <f>IF(LEN(B4)=0,"","RAS-VET-"&amp;TEXT(ROW()-1,"000"))</f>
        <v/>
      </c>
      <c r="B4" s="8" t="inlineStr">
        <is>
          <t>Por designar</t>
        </is>
      </c>
      <c r="C4" s="8" t="inlineStr">
        <is>
          <t>Mando con vínculo operativo</t>
        </is>
      </c>
      <c r="D4" s="8" t="inlineStr">
        <is>
          <t>Secretaría de Seguridad del Estado de Jalisco</t>
        </is>
      </c>
      <c r="E4" s="8" t="inlineStr">
        <is>
          <t>Operativo</t>
        </is>
      </c>
      <c r="F4" s="16" t="n"/>
      <c r="G4" s="8" t="inlineStr">
        <is>
          <t>Pendiente</t>
        </is>
      </c>
      <c r="H4" s="17" t="n">
        <v>46232</v>
      </c>
      <c r="I4" s="8" t="n"/>
    </row>
    <row r="5">
      <c r="A5" s="15">
        <f>IF(LEN(B5)=0,"","RAS-VET-"&amp;TEXT(ROW()-1,"000"))</f>
        <v/>
      </c>
      <c r="B5" s="8" t="inlineStr">
        <is>
          <t>Por designar</t>
        </is>
      </c>
      <c r="C5" s="8" t="inlineStr">
        <is>
          <t>Titular o representante</t>
        </is>
      </c>
      <c r="D5" s="8" t="inlineStr">
        <is>
          <t>Fiscalía del Estado de Jalisco</t>
        </is>
      </c>
      <c r="E5" s="8" t="inlineStr">
        <is>
          <t>Tomador de decisiones</t>
        </is>
      </c>
      <c r="F5" s="16" t="n"/>
      <c r="G5" s="8" t="inlineStr">
        <is>
          <t>Pendiente</t>
        </is>
      </c>
      <c r="H5" s="17" t="n">
        <v>46232</v>
      </c>
      <c r="I5" s="8" t="n"/>
    </row>
    <row r="6">
      <c r="A6" s="15">
        <f>IF(LEN(B6)=0,"","RAS-VET-"&amp;TEXT(ROW()-1,"000"))</f>
        <v/>
      </c>
      <c r="B6" s="8" t="inlineStr">
        <is>
          <t>Por designar</t>
        </is>
      </c>
      <c r="C6" s="8" t="inlineStr">
        <is>
          <t>Agente del Ministerio Público</t>
        </is>
      </c>
      <c r="D6" s="8" t="inlineStr">
        <is>
          <t>Fiscalía del Estado de Jalisco</t>
        </is>
      </c>
      <c r="E6" s="8" t="inlineStr">
        <is>
          <t>Operativo</t>
        </is>
      </c>
      <c r="F6" s="16" t="n"/>
      <c r="G6" s="8" t="inlineStr">
        <is>
          <t>Pendiente</t>
        </is>
      </c>
      <c r="H6" s="17" t="n">
        <v>46232</v>
      </c>
      <c r="I6" s="8" t="n"/>
    </row>
    <row r="7">
      <c r="A7" s="15">
        <f>IF(LEN(B7)=0,"","RAS-VET-"&amp;TEXT(ROW()-1,"000"))</f>
        <v/>
      </c>
      <c r="B7" s="8" t="inlineStr">
        <is>
          <t>Por designar</t>
        </is>
      </c>
      <c r="C7" s="8" t="inlineStr">
        <is>
          <t>Titular de la Fiscalía Especializada</t>
        </is>
      </c>
      <c r="D7" s="8" t="inlineStr">
        <is>
          <t>Fiscalía Especializada en Trata de Personas</t>
        </is>
      </c>
      <c r="E7" s="8" t="inlineStr">
        <is>
          <t>Tomador de decisiones</t>
        </is>
      </c>
      <c r="F7" s="16" t="n"/>
      <c r="G7" s="8" t="inlineStr">
        <is>
          <t>Pendiente</t>
        </is>
      </c>
      <c r="H7" s="17" t="n">
        <v>46232</v>
      </c>
      <c r="I7" s="8" t="n"/>
    </row>
    <row r="8">
      <c r="A8" s="15">
        <f>IF(LEN(B8)=0,"","RAS-VET-"&amp;TEXT(ROW()-1,"000"))</f>
        <v/>
      </c>
      <c r="B8" s="8" t="inlineStr">
        <is>
          <t>Por designar</t>
        </is>
      </c>
      <c r="C8" s="8" t="inlineStr">
        <is>
          <t>Investigador especializado</t>
        </is>
      </c>
      <c r="D8" s="8" t="inlineStr">
        <is>
          <t>Fiscalía Especializada en Trata de Personas</t>
        </is>
      </c>
      <c r="E8" s="8" t="inlineStr">
        <is>
          <t>Operativo</t>
        </is>
      </c>
      <c r="F8" s="16" t="n"/>
      <c r="G8" s="8" t="inlineStr">
        <is>
          <t>Pendiente</t>
        </is>
      </c>
      <c r="H8" s="17" t="n">
        <v>46232</v>
      </c>
      <c r="I8" s="8" t="n"/>
    </row>
    <row r="9">
      <c r="A9" s="15">
        <f>IF(LEN(B9)=0,"","RAS-VET-"&amp;TEXT(ROW()-1,"000"))</f>
        <v/>
      </c>
      <c r="B9" s="8" t="inlineStr">
        <is>
          <t>Por designar</t>
        </is>
      </c>
      <c r="C9" s="8" t="inlineStr">
        <is>
          <t>Jefatura de unidad</t>
        </is>
      </c>
      <c r="D9" s="8" t="inlineStr">
        <is>
          <t>Policía Cibernética</t>
        </is>
      </c>
      <c r="E9" s="8" t="inlineStr">
        <is>
          <t>Tomador de decisiones</t>
        </is>
      </c>
      <c r="F9" s="16" t="n"/>
      <c r="G9" s="8" t="inlineStr">
        <is>
          <t>Pendiente</t>
        </is>
      </c>
      <c r="H9" s="17" t="n">
        <v>46232</v>
      </c>
      <c r="I9" s="8" t="n"/>
    </row>
    <row r="10">
      <c r="A10" s="15">
        <f>IF(LEN(B10)=0,"","RAS-VET-"&amp;TEXT(ROW()-1,"000"))</f>
        <v/>
      </c>
      <c r="B10" s="8" t="inlineStr">
        <is>
          <t>Por designar</t>
        </is>
      </c>
      <c r="C10" s="8" t="inlineStr">
        <is>
          <t>Perito en evidencia digital</t>
        </is>
      </c>
      <c r="D10" s="8" t="inlineStr">
        <is>
          <t>Policía Cibernética</t>
        </is>
      </c>
      <c r="E10" s="8" t="inlineStr">
        <is>
          <t>Operativo</t>
        </is>
      </c>
      <c r="F10" s="16" t="n"/>
      <c r="G10" s="8" t="inlineStr">
        <is>
          <t>Pendiente</t>
        </is>
      </c>
      <c r="H10" s="17" t="n">
        <v>46232</v>
      </c>
      <c r="I10" s="8" t="n"/>
    </row>
    <row r="11">
      <c r="A11" s="15">
        <f>IF(LEN(B11)=0,"","RAS-VET-"&amp;TEXT(ROW()-1,"000"))</f>
        <v/>
      </c>
      <c r="B11" s="8" t="inlineStr">
        <is>
          <t>Por designar</t>
        </is>
      </c>
      <c r="C11" s="8" t="inlineStr">
        <is>
          <t>Enlace de atención a víctimas</t>
        </is>
      </c>
      <c r="D11" s="8" t="inlineStr">
        <is>
          <t>Comisión Ejecutiva Estatal de Atención a Víctimas</t>
        </is>
      </c>
      <c r="E11" s="8" t="inlineStr">
        <is>
          <t>Tomador de decisiones</t>
        </is>
      </c>
      <c r="F11" s="16" t="n"/>
      <c r="G11" s="8" t="inlineStr">
        <is>
          <t>Pendiente</t>
        </is>
      </c>
      <c r="H11" s="17" t="n">
        <v>46232</v>
      </c>
      <c r="I11" s="8" t="n"/>
    </row>
    <row r="12">
      <c r="A12" s="15">
        <f>IF(LEN(B12)=0,"","RAS-VET-"&amp;TEXT(ROW()-1,"000"))</f>
        <v/>
      </c>
      <c r="B12" s="8" t="inlineStr">
        <is>
          <t>Por designar</t>
        </is>
      </c>
      <c r="C12" s="8" t="inlineStr">
        <is>
          <t>Enlace de búsqueda</t>
        </is>
      </c>
      <c r="D12" s="8" t="inlineStr">
        <is>
          <t>Comisión de Búsqueda de Personas</t>
        </is>
      </c>
      <c r="E12" s="8" t="inlineStr">
        <is>
          <t>Tomador de decisiones</t>
        </is>
      </c>
      <c r="F12" s="16" t="n"/>
      <c r="G12" s="8" t="inlineStr">
        <is>
          <t>Pendiente</t>
        </is>
      </c>
      <c r="H12" s="17" t="n">
        <v>46232</v>
      </c>
      <c r="I12" s="8" t="n"/>
    </row>
    <row r="13">
      <c r="A13" s="15">
        <f>IF(LEN(B13)=0,"","RAS-VET-"&amp;TEXT(ROW()-1,"000"))</f>
        <v/>
      </c>
      <c r="B13" s="8" t="n"/>
      <c r="C13" s="8" t="n"/>
      <c r="D13" s="8" t="n"/>
      <c r="E13" s="8" t="n"/>
      <c r="F13" s="16" t="n"/>
      <c r="G13" s="8" t="n"/>
      <c r="H13" s="17" t="n">
        <v>46232</v>
      </c>
      <c r="I13" s="8" t="n"/>
    </row>
    <row r="14">
      <c r="A14" s="15">
        <f>IF(LEN(B14)=0,"","RAS-VET-"&amp;TEXT(ROW()-1,"000"))</f>
        <v/>
      </c>
      <c r="B14" s="8" t="n"/>
      <c r="C14" s="8" t="n"/>
      <c r="D14" s="8" t="n"/>
      <c r="E14" s="8" t="n"/>
      <c r="F14" s="16" t="n"/>
      <c r="G14" s="8" t="n"/>
      <c r="H14" s="17" t="n">
        <v>46232</v>
      </c>
      <c r="I14" s="8" t="n"/>
    </row>
    <row r="15">
      <c r="A15" s="15">
        <f>IF(LEN(B15)=0,"","RAS-VET-"&amp;TEXT(ROW()-1,"000"))</f>
        <v/>
      </c>
      <c r="B15" s="8" t="n"/>
      <c r="C15" s="8" t="n"/>
      <c r="D15" s="8" t="n"/>
      <c r="E15" s="8" t="n"/>
      <c r="F15" s="16" t="n"/>
      <c r="G15" s="8" t="n"/>
      <c r="H15" s="17" t="n">
        <v>46232</v>
      </c>
      <c r="I15" s="8" t="n"/>
    </row>
    <row r="16">
      <c r="A16" s="15">
        <f>IF(LEN(B16)=0,"","RAS-VET-"&amp;TEXT(ROW()-1,"000"))</f>
        <v/>
      </c>
      <c r="B16" s="8" t="n"/>
      <c r="C16" s="8" t="n"/>
      <c r="D16" s="8" t="n"/>
      <c r="E16" s="8" t="n"/>
      <c r="F16" s="16" t="n"/>
      <c r="G16" s="8" t="n"/>
      <c r="H16" s="17" t="n">
        <v>46232</v>
      </c>
      <c r="I16" s="8" t="n"/>
    </row>
    <row r="17">
      <c r="A17" s="15">
        <f>IF(LEN(B17)=0,"","RAS-VET-"&amp;TEXT(ROW()-1,"000"))</f>
        <v/>
      </c>
      <c r="B17" s="8" t="n"/>
      <c r="C17" s="8" t="n"/>
      <c r="D17" s="8" t="n"/>
      <c r="E17" s="8" t="n"/>
      <c r="F17" s="16" t="n"/>
      <c r="G17" s="8" t="n"/>
      <c r="H17" s="17" t="n">
        <v>46232</v>
      </c>
      <c r="I17" s="8" t="n"/>
    </row>
    <row r="18">
      <c r="A18" s="15">
        <f>IF(LEN(B18)=0,"","RAS-VET-"&amp;TEXT(ROW()-1,"000"))</f>
        <v/>
      </c>
      <c r="B18" s="8" t="n"/>
      <c r="C18" s="8" t="n"/>
      <c r="D18" s="8" t="n"/>
      <c r="E18" s="8" t="n"/>
      <c r="F18" s="16" t="n"/>
      <c r="G18" s="8" t="n"/>
      <c r="H18" s="17" t="n">
        <v>46232</v>
      </c>
      <c r="I18" s="8" t="n"/>
    </row>
    <row r="19">
      <c r="A19" s="15">
        <f>IF(LEN(B19)=0,"","RAS-VET-"&amp;TEXT(ROW()-1,"000"))</f>
        <v/>
      </c>
      <c r="B19" s="8" t="n"/>
      <c r="C19" s="8" t="n"/>
      <c r="D19" s="8" t="n"/>
      <c r="E19" s="8" t="n"/>
      <c r="F19" s="16" t="n"/>
      <c r="G19" s="8" t="n"/>
      <c r="H19" s="17" t="n">
        <v>46232</v>
      </c>
      <c r="I19" s="8" t="n"/>
    </row>
    <row r="20">
      <c r="A20" s="15">
        <f>IF(LEN(B20)=0,"","RAS-VET-"&amp;TEXT(ROW()-1,"000"))</f>
        <v/>
      </c>
      <c r="B20" s="8" t="n"/>
      <c r="C20" s="8" t="n"/>
      <c r="D20" s="8" t="n"/>
      <c r="E20" s="8" t="n"/>
      <c r="F20" s="16" t="n"/>
      <c r="G20" s="8" t="n"/>
      <c r="H20" s="17" t="n">
        <v>46232</v>
      </c>
      <c r="I20" s="8" t="n"/>
    </row>
    <row r="21">
      <c r="A21" s="15">
        <f>IF(LEN(B21)=0,"","RAS-VET-"&amp;TEXT(ROW()-1,"000"))</f>
        <v/>
      </c>
      <c r="B21" s="8" t="n"/>
      <c r="C21" s="8" t="n"/>
      <c r="D21" s="8" t="n"/>
      <c r="E21" s="8" t="n"/>
      <c r="F21" s="16" t="n"/>
      <c r="G21" s="8" t="n"/>
      <c r="H21" s="17" t="n">
        <v>46232</v>
      </c>
      <c r="I21" s="8" t="n"/>
    </row>
    <row r="22">
      <c r="A22" s="15">
        <f>IF(LEN(B22)=0,"","RAS-VET-"&amp;TEXT(ROW()-1,"000"))</f>
        <v/>
      </c>
      <c r="B22" s="8" t="n"/>
      <c r="C22" s="8" t="n"/>
      <c r="D22" s="8" t="n"/>
      <c r="E22" s="8" t="n"/>
      <c r="F22" s="16" t="n"/>
      <c r="G22" s="8" t="n"/>
      <c r="H22" s="17" t="n">
        <v>46232</v>
      </c>
      <c r="I22" s="8" t="n"/>
    </row>
    <row r="23">
      <c r="A23" s="15">
        <f>IF(LEN(B23)=0,"","RAS-VET-"&amp;TEXT(ROW()-1,"000"))</f>
        <v/>
      </c>
      <c r="B23" s="8" t="n"/>
      <c r="C23" s="8" t="n"/>
      <c r="D23" s="8" t="n"/>
      <c r="E23" s="8" t="n"/>
      <c r="F23" s="16" t="n"/>
      <c r="G23" s="8" t="n"/>
      <c r="H23" s="17" t="n">
        <v>46232</v>
      </c>
      <c r="I23" s="8" t="n"/>
    </row>
    <row r="24">
      <c r="A24" s="15">
        <f>IF(LEN(B24)=0,"","RAS-VET-"&amp;TEXT(ROW()-1,"000"))</f>
        <v/>
      </c>
      <c r="B24" s="8" t="n"/>
      <c r="C24" s="8" t="n"/>
      <c r="D24" s="8" t="n"/>
      <c r="E24" s="8" t="n"/>
      <c r="F24" s="16" t="n"/>
      <c r="G24" s="8" t="n"/>
      <c r="H24" s="17" t="n">
        <v>46232</v>
      </c>
      <c r="I24" s="8" t="n"/>
    </row>
    <row r="25">
      <c r="A25" s="15">
        <f>IF(LEN(B25)=0,"","RAS-VET-"&amp;TEXT(ROW()-1,"000"))</f>
        <v/>
      </c>
      <c r="B25" s="8" t="n"/>
      <c r="C25" s="8" t="n"/>
      <c r="D25" s="8" t="n"/>
      <c r="E25" s="8" t="n"/>
      <c r="F25" s="16" t="n"/>
      <c r="G25" s="8" t="n"/>
      <c r="H25" s="17" t="n">
        <v>46232</v>
      </c>
      <c r="I25" s="8" t="n"/>
    </row>
    <row r="26">
      <c r="A26" s="15">
        <f>IF(LEN(B26)=0,"","RAS-VET-"&amp;TEXT(ROW()-1,"000"))</f>
        <v/>
      </c>
      <c r="B26" s="8" t="n"/>
      <c r="C26" s="8" t="n"/>
      <c r="D26" s="8" t="n"/>
      <c r="E26" s="8" t="n"/>
      <c r="F26" s="16" t="n"/>
      <c r="G26" s="8" t="n"/>
      <c r="H26" s="17" t="n">
        <v>46232</v>
      </c>
      <c r="I26" s="8" t="n"/>
    </row>
    <row r="27">
      <c r="A27" s="15">
        <f>IF(LEN(B27)=0,"","RAS-VET-"&amp;TEXT(ROW()-1,"000"))</f>
        <v/>
      </c>
      <c r="B27" s="8" t="n"/>
      <c r="C27" s="8" t="n"/>
      <c r="D27" s="8" t="n"/>
      <c r="E27" s="8" t="n"/>
      <c r="F27" s="16" t="n"/>
      <c r="G27" s="8" t="n"/>
      <c r="H27" s="17" t="n">
        <v>46232</v>
      </c>
      <c r="I27" s="8" t="n"/>
    </row>
    <row r="28">
      <c r="A28" s="15">
        <f>IF(LEN(B28)=0,"","RAS-VET-"&amp;TEXT(ROW()-1,"000"))</f>
        <v/>
      </c>
      <c r="B28" s="8" t="n"/>
      <c r="C28" s="8" t="n"/>
      <c r="D28" s="8" t="n"/>
      <c r="E28" s="8" t="n"/>
      <c r="F28" s="16" t="n"/>
      <c r="G28" s="8" t="n"/>
      <c r="H28" s="17" t="n">
        <v>46232</v>
      </c>
      <c r="I28" s="8" t="n"/>
    </row>
    <row r="29">
      <c r="A29" s="15">
        <f>IF(LEN(B29)=0,"","RAS-VET-"&amp;TEXT(ROW()-1,"000"))</f>
        <v/>
      </c>
      <c r="B29" s="8" t="n"/>
      <c r="C29" s="8" t="n"/>
      <c r="D29" s="8" t="n"/>
      <c r="E29" s="8" t="n"/>
      <c r="F29" s="16" t="n"/>
      <c r="G29" s="8" t="n"/>
      <c r="H29" s="17" t="n">
        <v>46232</v>
      </c>
      <c r="I29" s="8" t="n"/>
    </row>
    <row r="30">
      <c r="A30" s="15">
        <f>IF(LEN(B30)=0,"","RAS-VET-"&amp;TEXT(ROW()-1,"000"))</f>
        <v/>
      </c>
      <c r="B30" s="8" t="n"/>
      <c r="C30" s="8" t="n"/>
      <c r="D30" s="8" t="n"/>
      <c r="E30" s="8" t="n"/>
      <c r="F30" s="16" t="n"/>
      <c r="G30" s="8" t="n"/>
      <c r="H30" s="17" t="n">
        <v>46232</v>
      </c>
      <c r="I30" s="8" t="n"/>
    </row>
    <row r="31">
      <c r="A31" s="15">
        <f>IF(LEN(B31)=0,"","RAS-VET-"&amp;TEXT(ROW()-1,"000"))</f>
        <v/>
      </c>
      <c r="B31" s="8" t="n"/>
      <c r="C31" s="8" t="n"/>
      <c r="D31" s="8" t="n"/>
      <c r="E31" s="8" t="n"/>
      <c r="F31" s="16" t="n"/>
      <c r="G31" s="8" t="n"/>
      <c r="H31" s="17" t="n">
        <v>46232</v>
      </c>
      <c r="I31" s="8" t="n"/>
    </row>
    <row r="32">
      <c r="A32" s="15">
        <f>IF(LEN(B32)=0,"","RAS-VET-"&amp;TEXT(ROW()-1,"000"))</f>
        <v/>
      </c>
      <c r="B32" s="8" t="n"/>
      <c r="C32" s="8" t="n"/>
      <c r="D32" s="8" t="n"/>
      <c r="E32" s="8" t="n"/>
      <c r="F32" s="16" t="n"/>
      <c r="G32" s="8" t="n"/>
      <c r="H32" s="17" t="n">
        <v>46232</v>
      </c>
      <c r="I32" s="8" t="n"/>
    </row>
    <row r="33">
      <c r="A33" s="15">
        <f>IF(LEN(B33)=0,"","RAS-VET-"&amp;TEXT(ROW()-1,"000"))</f>
        <v/>
      </c>
      <c r="B33" s="8" t="n"/>
      <c r="C33" s="8" t="n"/>
      <c r="D33" s="8" t="n"/>
      <c r="E33" s="8" t="n"/>
      <c r="F33" s="16" t="n"/>
      <c r="G33" s="8" t="n"/>
      <c r="H33" s="17" t="n">
        <v>46232</v>
      </c>
      <c r="I33" s="8" t="n"/>
    </row>
    <row r="34">
      <c r="A34" s="15">
        <f>IF(LEN(B34)=0,"","RAS-VET-"&amp;TEXT(ROW()-1,"000"))</f>
        <v/>
      </c>
      <c r="B34" s="8" t="n"/>
      <c r="C34" s="8" t="n"/>
      <c r="D34" s="8" t="n"/>
      <c r="E34" s="8" t="n"/>
      <c r="F34" s="16" t="n"/>
      <c r="G34" s="8" t="n"/>
      <c r="H34" s="17" t="n">
        <v>46232</v>
      </c>
      <c r="I34" s="8" t="n"/>
    </row>
    <row r="35">
      <c r="A35" s="15">
        <f>IF(LEN(B35)=0,"","RAS-VET-"&amp;TEXT(ROW()-1,"000"))</f>
        <v/>
      </c>
      <c r="B35" s="8" t="n"/>
      <c r="C35" s="8" t="n"/>
      <c r="D35" s="8" t="n"/>
      <c r="E35" s="8" t="n"/>
      <c r="F35" s="16" t="n"/>
      <c r="G35" s="8" t="n"/>
      <c r="H35" s="17" t="n">
        <v>46232</v>
      </c>
      <c r="I35" s="8" t="n"/>
    </row>
    <row r="36">
      <c r="A36" s="15">
        <f>IF(LEN(B36)=0,"","RAS-VET-"&amp;TEXT(ROW()-1,"000"))</f>
        <v/>
      </c>
      <c r="B36" s="8" t="n"/>
      <c r="C36" s="8" t="n"/>
      <c r="D36" s="8" t="n"/>
      <c r="E36" s="8" t="n"/>
      <c r="F36" s="16" t="n"/>
      <c r="G36" s="8" t="n"/>
      <c r="H36" s="17" t="n">
        <v>46232</v>
      </c>
      <c r="I36" s="8" t="n"/>
    </row>
    <row r="37">
      <c r="A37" s="15">
        <f>IF(LEN(B37)=0,"","RAS-VET-"&amp;TEXT(ROW()-1,"000"))</f>
        <v/>
      </c>
      <c r="B37" s="8" t="n"/>
      <c r="C37" s="8" t="n"/>
      <c r="D37" s="8" t="n"/>
      <c r="E37" s="8" t="n"/>
      <c r="F37" s="16" t="n"/>
      <c r="G37" s="8" t="n"/>
      <c r="H37" s="17" t="n">
        <v>46232</v>
      </c>
      <c r="I37" s="8" t="n"/>
    </row>
    <row r="38">
      <c r="A38" s="15">
        <f>IF(LEN(B38)=0,"","RAS-VET-"&amp;TEXT(ROW()-1,"000"))</f>
        <v/>
      </c>
      <c r="B38" s="8" t="n"/>
      <c r="C38" s="8" t="n"/>
      <c r="D38" s="8" t="n"/>
      <c r="E38" s="8" t="n"/>
      <c r="F38" s="16" t="n"/>
      <c r="G38" s="8" t="n"/>
      <c r="H38" s="17" t="n">
        <v>46232</v>
      </c>
      <c r="I38" s="8" t="n"/>
    </row>
    <row r="39">
      <c r="A39" s="15">
        <f>IF(LEN(B39)=0,"","RAS-VET-"&amp;TEXT(ROW()-1,"000"))</f>
        <v/>
      </c>
      <c r="B39" s="8" t="n"/>
      <c r="C39" s="8" t="n"/>
      <c r="D39" s="8" t="n"/>
      <c r="E39" s="8" t="n"/>
      <c r="F39" s="16" t="n"/>
      <c r="G39" s="8" t="n"/>
      <c r="H39" s="17" t="n">
        <v>46232</v>
      </c>
      <c r="I39" s="8" t="n"/>
    </row>
    <row r="40">
      <c r="A40" s="15">
        <f>IF(LEN(B40)=0,"","RAS-VET-"&amp;TEXT(ROW()-1,"000"))</f>
        <v/>
      </c>
      <c r="B40" s="8" t="n"/>
      <c r="C40" s="8" t="n"/>
      <c r="D40" s="8" t="n"/>
      <c r="E40" s="8" t="n"/>
      <c r="F40" s="16" t="n"/>
      <c r="G40" s="8" t="n"/>
      <c r="H40" s="17" t="n">
        <v>46232</v>
      </c>
      <c r="I40" s="8" t="n"/>
    </row>
    <row r="41">
      <c r="A41" s="15">
        <f>IF(LEN(B41)=0,"","RAS-VET-"&amp;TEXT(ROW()-1,"000"))</f>
        <v/>
      </c>
      <c r="B41" s="8" t="n"/>
      <c r="C41" s="8" t="n"/>
      <c r="D41" s="8" t="n"/>
      <c r="E41" s="8" t="n"/>
      <c r="F41" s="16" t="n"/>
      <c r="G41" s="8" t="n"/>
      <c r="H41" s="17" t="n">
        <v>46232</v>
      </c>
      <c r="I41" s="8" t="n"/>
    </row>
    <row r="42">
      <c r="A42" s="15">
        <f>IF(LEN(B42)=0,"","RAS-VET-"&amp;TEXT(ROW()-1,"000"))</f>
        <v/>
      </c>
      <c r="B42" s="8" t="n"/>
      <c r="C42" s="8" t="n"/>
      <c r="D42" s="8" t="n"/>
      <c r="E42" s="8" t="n"/>
      <c r="F42" s="16" t="n"/>
      <c r="G42" s="8" t="n"/>
      <c r="H42" s="17" t="n">
        <v>46232</v>
      </c>
      <c r="I42" s="8" t="n"/>
    </row>
    <row r="43">
      <c r="A43" s="15">
        <f>IF(LEN(B43)=0,"","RAS-VET-"&amp;TEXT(ROW()-1,"000"))</f>
        <v/>
      </c>
      <c r="B43" s="8" t="n"/>
      <c r="C43" s="8" t="n"/>
      <c r="D43" s="8" t="n"/>
      <c r="E43" s="8" t="n"/>
      <c r="F43" s="16" t="n"/>
      <c r="G43" s="8" t="n"/>
      <c r="H43" s="17" t="n">
        <v>46232</v>
      </c>
      <c r="I43" s="8" t="n"/>
    </row>
    <row r="44">
      <c r="A44" s="15">
        <f>IF(LEN(B44)=0,"","RAS-VET-"&amp;TEXT(ROW()-1,"000"))</f>
        <v/>
      </c>
      <c r="B44" s="8" t="n"/>
      <c r="C44" s="8" t="n"/>
      <c r="D44" s="8" t="n"/>
      <c r="E44" s="8" t="n"/>
      <c r="F44" s="16" t="n"/>
      <c r="G44" s="8" t="n"/>
      <c r="H44" s="17" t="n">
        <v>46232</v>
      </c>
      <c r="I44" s="8" t="n"/>
    </row>
    <row r="45">
      <c r="A45" s="15">
        <f>IF(LEN(B45)=0,"","RAS-VET-"&amp;TEXT(ROW()-1,"000"))</f>
        <v/>
      </c>
      <c r="B45" s="8" t="n"/>
      <c r="C45" s="8" t="n"/>
      <c r="D45" s="8" t="n"/>
      <c r="E45" s="8" t="n"/>
      <c r="F45" s="16" t="n"/>
      <c r="G45" s="8" t="n"/>
      <c r="H45" s="17" t="n">
        <v>46232</v>
      </c>
      <c r="I45" s="8" t="n"/>
    </row>
    <row r="46">
      <c r="A46" s="15">
        <f>IF(LEN(B46)=0,"","RAS-VET-"&amp;TEXT(ROW()-1,"000"))</f>
        <v/>
      </c>
      <c r="B46" s="8" t="n"/>
      <c r="C46" s="8" t="n"/>
      <c r="D46" s="8" t="n"/>
      <c r="E46" s="8" t="n"/>
      <c r="F46" s="16" t="n"/>
      <c r="G46" s="8" t="n"/>
      <c r="H46" s="17" t="n">
        <v>46232</v>
      </c>
      <c r="I46" s="8" t="n"/>
    </row>
    <row r="47">
      <c r="A47" s="15">
        <f>IF(LEN(B47)=0,"","RAS-VET-"&amp;TEXT(ROW()-1,"000"))</f>
        <v/>
      </c>
      <c r="B47" s="8" t="n"/>
      <c r="C47" s="8" t="n"/>
      <c r="D47" s="8" t="n"/>
      <c r="E47" s="8" t="n"/>
      <c r="F47" s="16" t="n"/>
      <c r="G47" s="8" t="n"/>
      <c r="H47" s="17" t="n">
        <v>46232</v>
      </c>
      <c r="I47" s="8" t="n"/>
    </row>
    <row r="48">
      <c r="A48" s="15">
        <f>IF(LEN(B48)=0,"","RAS-VET-"&amp;TEXT(ROW()-1,"000"))</f>
        <v/>
      </c>
      <c r="B48" s="8" t="n"/>
      <c r="C48" s="8" t="n"/>
      <c r="D48" s="8" t="n"/>
      <c r="E48" s="8" t="n"/>
      <c r="F48" s="16" t="n"/>
      <c r="G48" s="8" t="n"/>
      <c r="H48" s="17" t="n">
        <v>46232</v>
      </c>
      <c r="I48" s="8" t="n"/>
    </row>
    <row r="49">
      <c r="A49" s="15">
        <f>IF(LEN(B49)=0,"","RAS-VET-"&amp;TEXT(ROW()-1,"000"))</f>
        <v/>
      </c>
      <c r="B49" s="8" t="n"/>
      <c r="C49" s="8" t="n"/>
      <c r="D49" s="8" t="n"/>
      <c r="E49" s="8" t="n"/>
      <c r="F49" s="16" t="n"/>
      <c r="G49" s="8" t="n"/>
      <c r="H49" s="17" t="n">
        <v>46232</v>
      </c>
      <c r="I49" s="8" t="n"/>
    </row>
    <row r="50">
      <c r="A50" s="15">
        <f>IF(LEN(B50)=0,"","RAS-VET-"&amp;TEXT(ROW()-1,"000"))</f>
        <v/>
      </c>
      <c r="B50" s="8" t="n"/>
      <c r="C50" s="8" t="n"/>
      <c r="D50" s="8" t="n"/>
      <c r="E50" s="8" t="n"/>
      <c r="F50" s="16" t="n"/>
      <c r="G50" s="8" t="n"/>
      <c r="H50" s="17" t="n">
        <v>46232</v>
      </c>
      <c r="I50" s="8" t="n"/>
    </row>
    <row r="51">
      <c r="A51" s="15">
        <f>IF(LEN(B51)=0,"","RAS-VET-"&amp;TEXT(ROW()-1,"000"))</f>
        <v/>
      </c>
      <c r="B51" s="8" t="n"/>
      <c r="C51" s="8" t="n"/>
      <c r="D51" s="8" t="n"/>
      <c r="E51" s="8" t="n"/>
      <c r="F51" s="16" t="n"/>
      <c r="G51" s="8" t="n"/>
      <c r="H51" s="17" t="n">
        <v>46232</v>
      </c>
      <c r="I51" s="8" t="n"/>
    </row>
    <row r="52">
      <c r="A52" s="15">
        <f>IF(LEN(B52)=0,"","RAS-VET-"&amp;TEXT(ROW()-1,"000"))</f>
        <v/>
      </c>
      <c r="B52" s="8" t="n"/>
      <c r="C52" s="8" t="n"/>
      <c r="D52" s="8" t="n"/>
      <c r="E52" s="8" t="n"/>
      <c r="F52" s="16" t="n"/>
      <c r="G52" s="8" t="n"/>
      <c r="H52" s="17" t="n">
        <v>46232</v>
      </c>
      <c r="I52" s="8" t="n"/>
    </row>
    <row r="53">
      <c r="A53" s="15">
        <f>IF(LEN(B53)=0,"","RAS-VET-"&amp;TEXT(ROW()-1,"000"))</f>
        <v/>
      </c>
      <c r="B53" s="8" t="n"/>
      <c r="C53" s="8" t="n"/>
      <c r="D53" s="8" t="n"/>
      <c r="E53" s="8" t="n"/>
      <c r="F53" s="16" t="n"/>
      <c r="G53" s="8" t="n"/>
      <c r="H53" s="17" t="n">
        <v>46232</v>
      </c>
      <c r="I53" s="8" t="n"/>
    </row>
    <row r="54">
      <c r="A54" s="15">
        <f>IF(LEN(B54)=0,"","RAS-VET-"&amp;TEXT(ROW()-1,"000"))</f>
        <v/>
      </c>
      <c r="B54" s="8" t="n"/>
      <c r="C54" s="8" t="n"/>
      <c r="D54" s="8" t="n"/>
      <c r="E54" s="8" t="n"/>
      <c r="F54" s="16" t="n"/>
      <c r="G54" s="8" t="n"/>
      <c r="H54" s="17" t="n">
        <v>46232</v>
      </c>
      <c r="I54" s="8" t="n"/>
    </row>
    <row r="55">
      <c r="A55" s="15">
        <f>IF(LEN(B55)=0,"","RAS-VET-"&amp;TEXT(ROW()-1,"000"))</f>
        <v/>
      </c>
      <c r="B55" s="8" t="n"/>
      <c r="C55" s="8" t="n"/>
      <c r="D55" s="8" t="n"/>
      <c r="E55" s="8" t="n"/>
      <c r="F55" s="16" t="n"/>
      <c r="G55" s="8" t="n"/>
      <c r="H55" s="17" t="n">
        <v>46232</v>
      </c>
      <c r="I55" s="8" t="n"/>
    </row>
    <row r="56">
      <c r="A56" s="15">
        <f>IF(LEN(B56)=0,"","RAS-VET-"&amp;TEXT(ROW()-1,"000"))</f>
        <v/>
      </c>
      <c r="B56" s="8" t="n"/>
      <c r="C56" s="8" t="n"/>
      <c r="D56" s="8" t="n"/>
      <c r="E56" s="8" t="n"/>
      <c r="F56" s="16" t="n"/>
      <c r="G56" s="8" t="n"/>
      <c r="H56" s="17" t="n">
        <v>46232</v>
      </c>
      <c r="I56" s="8" t="n"/>
    </row>
    <row r="57">
      <c r="A57" s="15">
        <f>IF(LEN(B57)=0,"","RAS-VET-"&amp;TEXT(ROW()-1,"000"))</f>
        <v/>
      </c>
      <c r="B57" s="8" t="n"/>
      <c r="C57" s="8" t="n"/>
      <c r="D57" s="8" t="n"/>
      <c r="E57" s="8" t="n"/>
      <c r="F57" s="16" t="n"/>
      <c r="G57" s="8" t="n"/>
      <c r="H57" s="17" t="n">
        <v>46232</v>
      </c>
      <c r="I57" s="8" t="n"/>
    </row>
    <row r="58">
      <c r="A58" s="15">
        <f>IF(LEN(B58)=0,"","RAS-VET-"&amp;TEXT(ROW()-1,"000"))</f>
        <v/>
      </c>
      <c r="B58" s="8" t="n"/>
      <c r="C58" s="8" t="n"/>
      <c r="D58" s="8" t="n"/>
      <c r="E58" s="8" t="n"/>
      <c r="F58" s="16" t="n"/>
      <c r="G58" s="8" t="n"/>
      <c r="H58" s="17" t="n">
        <v>46232</v>
      </c>
      <c r="I58" s="8" t="n"/>
    </row>
    <row r="59">
      <c r="A59" s="15">
        <f>IF(LEN(B59)=0,"","RAS-VET-"&amp;TEXT(ROW()-1,"000"))</f>
        <v/>
      </c>
      <c r="B59" s="8" t="n"/>
      <c r="C59" s="8" t="n"/>
      <c r="D59" s="8" t="n"/>
      <c r="E59" s="8" t="n"/>
      <c r="F59" s="16" t="n"/>
      <c r="G59" s="8" t="n"/>
      <c r="H59" s="17" t="n">
        <v>46232</v>
      </c>
      <c r="I59" s="8" t="n"/>
    </row>
    <row r="60">
      <c r="A60" s="15">
        <f>IF(LEN(B60)=0,"","RAS-VET-"&amp;TEXT(ROW()-1,"000"))</f>
        <v/>
      </c>
      <c r="B60" s="8" t="n"/>
      <c r="C60" s="8" t="n"/>
      <c r="D60" s="8" t="n"/>
      <c r="E60" s="8" t="n"/>
      <c r="F60" s="16" t="n"/>
      <c r="G60" s="8" t="n"/>
      <c r="H60" s="17" t="n">
        <v>46232</v>
      </c>
      <c r="I60" s="8" t="n"/>
    </row>
    <row r="61">
      <c r="A61" s="15">
        <f>IF(LEN(B61)=0,"","RAS-VET-"&amp;TEXT(ROW()-1,"000"))</f>
        <v/>
      </c>
      <c r="B61" s="8" t="n"/>
      <c r="C61" s="8" t="n"/>
      <c r="D61" s="8" t="n"/>
      <c r="E61" s="8" t="n"/>
      <c r="F61" s="16" t="n"/>
      <c r="G61" s="8" t="n"/>
      <c r="H61" s="17" t="n">
        <v>46232</v>
      </c>
      <c r="I61" s="8" t="n"/>
    </row>
    <row r="62">
      <c r="A62" s="15">
        <f>IF(LEN(B62)=0,"","RAS-VET-"&amp;TEXT(ROW()-1,"000"))</f>
        <v/>
      </c>
      <c r="B62" s="8" t="n"/>
      <c r="C62" s="8" t="n"/>
      <c r="D62" s="8" t="n"/>
      <c r="E62" s="8" t="n"/>
      <c r="F62" s="16" t="n"/>
      <c r="G62" s="8" t="n"/>
      <c r="H62" s="17" t="n">
        <v>46232</v>
      </c>
      <c r="I62" s="8" t="n"/>
    </row>
    <row r="63">
      <c r="A63" s="15">
        <f>IF(LEN(B63)=0,"","RAS-VET-"&amp;TEXT(ROW()-1,"000"))</f>
        <v/>
      </c>
      <c r="B63" s="8" t="n"/>
      <c r="C63" s="8" t="n"/>
      <c r="D63" s="8" t="n"/>
      <c r="E63" s="8" t="n"/>
      <c r="F63" s="16" t="n"/>
      <c r="G63" s="8" t="n"/>
      <c r="H63" s="17" t="n">
        <v>46232</v>
      </c>
      <c r="I63" s="8" t="n"/>
    </row>
    <row r="64">
      <c r="A64" s="15">
        <f>IF(LEN(B64)=0,"","RAS-VET-"&amp;TEXT(ROW()-1,"000"))</f>
        <v/>
      </c>
      <c r="B64" s="8" t="n"/>
      <c r="C64" s="8" t="n"/>
      <c r="D64" s="8" t="n"/>
      <c r="E64" s="8" t="n"/>
      <c r="F64" s="16" t="n"/>
      <c r="G64" s="8" t="n"/>
      <c r="H64" s="17" t="n">
        <v>46232</v>
      </c>
      <c r="I64" s="8" t="n"/>
    </row>
    <row r="65">
      <c r="A65" s="15">
        <f>IF(LEN(B65)=0,"","RAS-VET-"&amp;TEXT(ROW()-1,"000"))</f>
        <v/>
      </c>
      <c r="B65" s="8" t="n"/>
      <c r="C65" s="8" t="n"/>
      <c r="D65" s="8" t="n"/>
      <c r="E65" s="8" t="n"/>
      <c r="F65" s="16" t="n"/>
      <c r="G65" s="8" t="n"/>
      <c r="H65" s="17" t="n">
        <v>46232</v>
      </c>
      <c r="I65" s="8" t="n"/>
    </row>
    <row r="66">
      <c r="A66" s="15">
        <f>IF(LEN(B66)=0,"","RAS-VET-"&amp;TEXT(ROW()-1,"000"))</f>
        <v/>
      </c>
      <c r="B66" s="8" t="n"/>
      <c r="C66" s="8" t="n"/>
      <c r="D66" s="8" t="n"/>
      <c r="E66" s="8" t="n"/>
      <c r="F66" s="16" t="n"/>
      <c r="G66" s="8" t="n"/>
      <c r="H66" s="17" t="n">
        <v>46232</v>
      </c>
      <c r="I66" s="8" t="n"/>
    </row>
    <row r="67">
      <c r="A67" s="15">
        <f>IF(LEN(B67)=0,"","RAS-VET-"&amp;TEXT(ROW()-1,"000"))</f>
        <v/>
      </c>
      <c r="B67" s="8" t="n"/>
      <c r="C67" s="8" t="n"/>
      <c r="D67" s="8" t="n"/>
      <c r="E67" s="8" t="n"/>
      <c r="F67" s="16" t="n"/>
      <c r="G67" s="8" t="n"/>
      <c r="H67" s="17" t="n">
        <v>46232</v>
      </c>
      <c r="I67" s="8" t="n"/>
    </row>
    <row r="68">
      <c r="A68" s="15">
        <f>IF(LEN(B68)=0,"","RAS-VET-"&amp;TEXT(ROW()-1,"000"))</f>
        <v/>
      </c>
      <c r="B68" s="8" t="n"/>
      <c r="C68" s="8" t="n"/>
      <c r="D68" s="8" t="n"/>
      <c r="E68" s="8" t="n"/>
      <c r="F68" s="16" t="n"/>
      <c r="G68" s="8" t="n"/>
      <c r="H68" s="17" t="n">
        <v>46232</v>
      </c>
      <c r="I68" s="8" t="n"/>
    </row>
    <row r="69">
      <c r="A69" s="15">
        <f>IF(LEN(B69)=0,"","RAS-VET-"&amp;TEXT(ROW()-1,"000"))</f>
        <v/>
      </c>
      <c r="B69" s="8" t="n"/>
      <c r="C69" s="8" t="n"/>
      <c r="D69" s="8" t="n"/>
      <c r="E69" s="8" t="n"/>
      <c r="F69" s="16" t="n"/>
      <c r="G69" s="8" t="n"/>
      <c r="H69" s="17" t="n">
        <v>46232</v>
      </c>
      <c r="I69" s="8" t="n"/>
    </row>
    <row r="70">
      <c r="A70" s="15">
        <f>IF(LEN(B70)=0,"","RAS-VET-"&amp;TEXT(ROW()-1,"000"))</f>
        <v/>
      </c>
      <c r="B70" s="8" t="n"/>
      <c r="C70" s="8" t="n"/>
      <c r="D70" s="8" t="n"/>
      <c r="E70" s="8" t="n"/>
      <c r="F70" s="16" t="n"/>
      <c r="G70" s="8" t="n"/>
      <c r="H70" s="17" t="n">
        <v>46232</v>
      </c>
      <c r="I70" s="8" t="n"/>
    </row>
    <row r="71">
      <c r="A71" s="15">
        <f>IF(LEN(B71)=0,"","RAS-VET-"&amp;TEXT(ROW()-1,"000"))</f>
        <v/>
      </c>
      <c r="B71" s="8" t="n"/>
      <c r="C71" s="8" t="n"/>
      <c r="D71" s="8" t="n"/>
      <c r="E71" s="8" t="n"/>
      <c r="F71" s="16" t="n"/>
      <c r="G71" s="8" t="n"/>
      <c r="H71" s="17" t="n">
        <v>46232</v>
      </c>
      <c r="I71" s="8" t="n"/>
    </row>
    <row r="72">
      <c r="A72" s="15">
        <f>IF(LEN(B72)=0,"","RAS-VET-"&amp;TEXT(ROW()-1,"000"))</f>
        <v/>
      </c>
      <c r="B72" s="8" t="n"/>
      <c r="C72" s="8" t="n"/>
      <c r="D72" s="8" t="n"/>
      <c r="E72" s="8" t="n"/>
      <c r="F72" s="16" t="n"/>
      <c r="G72" s="8" t="n"/>
      <c r="H72" s="17" t="n">
        <v>46232</v>
      </c>
      <c r="I72" s="8" t="n"/>
    </row>
    <row r="73">
      <c r="A73" s="15">
        <f>IF(LEN(B73)=0,"","RAS-VET-"&amp;TEXT(ROW()-1,"000"))</f>
        <v/>
      </c>
      <c r="B73" s="8" t="n"/>
      <c r="C73" s="8" t="n"/>
      <c r="D73" s="8" t="n"/>
      <c r="E73" s="8" t="n"/>
      <c r="F73" s="16" t="n"/>
      <c r="G73" s="8" t="n"/>
      <c r="H73" s="17" t="n">
        <v>46232</v>
      </c>
      <c r="I73" s="8" t="n"/>
    </row>
    <row r="74">
      <c r="A74" s="15">
        <f>IF(LEN(B74)=0,"","RAS-VET-"&amp;TEXT(ROW()-1,"000"))</f>
        <v/>
      </c>
      <c r="B74" s="8" t="n"/>
      <c r="C74" s="8" t="n"/>
      <c r="D74" s="8" t="n"/>
      <c r="E74" s="8" t="n"/>
      <c r="F74" s="16" t="n"/>
      <c r="G74" s="8" t="n"/>
      <c r="H74" s="17" t="n">
        <v>46232</v>
      </c>
      <c r="I74" s="8" t="n"/>
    </row>
    <row r="75">
      <c r="A75" s="15">
        <f>IF(LEN(B75)=0,"","RAS-VET-"&amp;TEXT(ROW()-1,"000"))</f>
        <v/>
      </c>
      <c r="B75" s="8" t="n"/>
      <c r="C75" s="8" t="n"/>
      <c r="D75" s="8" t="n"/>
      <c r="E75" s="8" t="n"/>
      <c r="F75" s="16" t="n"/>
      <c r="G75" s="8" t="n"/>
      <c r="H75" s="17" t="n">
        <v>46232</v>
      </c>
      <c r="I75" s="8" t="n"/>
    </row>
    <row r="76">
      <c r="A76" s="15">
        <f>IF(LEN(B76)=0,"","RAS-VET-"&amp;TEXT(ROW()-1,"000"))</f>
        <v/>
      </c>
      <c r="B76" s="8" t="n"/>
      <c r="C76" s="8" t="n"/>
      <c r="D76" s="8" t="n"/>
      <c r="E76" s="8" t="n"/>
      <c r="F76" s="16" t="n"/>
      <c r="G76" s="8" t="n"/>
      <c r="H76" s="17" t="n">
        <v>46232</v>
      </c>
      <c r="I76" s="8" t="n"/>
    </row>
    <row r="77">
      <c r="A77" s="15">
        <f>IF(LEN(B77)=0,"","RAS-VET-"&amp;TEXT(ROW()-1,"000"))</f>
        <v/>
      </c>
      <c r="B77" s="8" t="n"/>
      <c r="C77" s="8" t="n"/>
      <c r="D77" s="8" t="n"/>
      <c r="E77" s="8" t="n"/>
      <c r="F77" s="16" t="n"/>
      <c r="G77" s="8" t="n"/>
      <c r="H77" s="17" t="n">
        <v>46232</v>
      </c>
      <c r="I77" s="8" t="n"/>
    </row>
    <row r="78">
      <c r="A78" s="15">
        <f>IF(LEN(B78)=0,"","RAS-VET-"&amp;TEXT(ROW()-1,"000"))</f>
        <v/>
      </c>
      <c r="B78" s="8" t="n"/>
      <c r="C78" s="8" t="n"/>
      <c r="D78" s="8" t="n"/>
      <c r="E78" s="8" t="n"/>
      <c r="F78" s="16" t="n"/>
      <c r="G78" s="8" t="n"/>
      <c r="H78" s="17" t="n">
        <v>46232</v>
      </c>
      <c r="I78" s="8" t="n"/>
    </row>
    <row r="79">
      <c r="A79" s="15">
        <f>IF(LEN(B79)=0,"","RAS-VET-"&amp;TEXT(ROW()-1,"000"))</f>
        <v/>
      </c>
      <c r="B79" s="8" t="n"/>
      <c r="C79" s="8" t="n"/>
      <c r="D79" s="8" t="n"/>
      <c r="E79" s="8" t="n"/>
      <c r="F79" s="16" t="n"/>
      <c r="G79" s="8" t="n"/>
      <c r="H79" s="17" t="n">
        <v>46232</v>
      </c>
      <c r="I79" s="8" t="n"/>
    </row>
    <row r="80">
      <c r="A80" s="15">
        <f>IF(LEN(B80)=0,"","RAS-VET-"&amp;TEXT(ROW()-1,"000"))</f>
        <v/>
      </c>
      <c r="B80" s="8" t="n"/>
      <c r="C80" s="8" t="n"/>
      <c r="D80" s="8" t="n"/>
      <c r="E80" s="8" t="n"/>
      <c r="F80" s="16" t="n"/>
      <c r="G80" s="8" t="n"/>
      <c r="H80" s="17" t="n">
        <v>46232</v>
      </c>
      <c r="I80" s="8" t="n"/>
    </row>
    <row r="81">
      <c r="A81" s="15">
        <f>IF(LEN(B81)=0,"","RAS-VET-"&amp;TEXT(ROW()-1,"000"))</f>
        <v/>
      </c>
      <c r="B81" s="8" t="n"/>
      <c r="C81" s="8" t="n"/>
      <c r="D81" s="8" t="n"/>
      <c r="E81" s="8" t="n"/>
      <c r="F81" s="16" t="n"/>
      <c r="G81" s="8" t="n"/>
      <c r="H81" s="17" t="n">
        <v>46232</v>
      </c>
      <c r="I81" s="8" t="n"/>
    </row>
    <row r="82">
      <c r="A82" s="15">
        <f>IF(LEN(B82)=0,"","RAS-VET-"&amp;TEXT(ROW()-1,"000"))</f>
        <v/>
      </c>
      <c r="B82" s="8" t="n"/>
      <c r="C82" s="8" t="n"/>
      <c r="D82" s="8" t="n"/>
      <c r="E82" s="8" t="n"/>
      <c r="F82" s="16" t="n"/>
      <c r="G82" s="8" t="n"/>
      <c r="H82" s="17" t="n">
        <v>46232</v>
      </c>
      <c r="I82" s="8" t="n"/>
    </row>
    <row r="83">
      <c r="A83" s="15">
        <f>IF(LEN(B83)=0,"","RAS-VET-"&amp;TEXT(ROW()-1,"000"))</f>
        <v/>
      </c>
      <c r="B83" s="8" t="n"/>
      <c r="C83" s="8" t="n"/>
      <c r="D83" s="8" t="n"/>
      <c r="E83" s="8" t="n"/>
      <c r="F83" s="16" t="n"/>
      <c r="G83" s="8" t="n"/>
      <c r="H83" s="17" t="n">
        <v>46232</v>
      </c>
      <c r="I83" s="8" t="n"/>
    </row>
    <row r="84">
      <c r="A84" s="15">
        <f>IF(LEN(B84)=0,"","RAS-VET-"&amp;TEXT(ROW()-1,"000"))</f>
        <v/>
      </c>
      <c r="B84" s="8" t="n"/>
      <c r="C84" s="8" t="n"/>
      <c r="D84" s="8" t="n"/>
      <c r="E84" s="8" t="n"/>
      <c r="F84" s="16" t="n"/>
      <c r="G84" s="8" t="n"/>
      <c r="H84" s="17" t="n">
        <v>46232</v>
      </c>
      <c r="I84" s="8" t="n"/>
    </row>
    <row r="85">
      <c r="A85" s="15">
        <f>IF(LEN(B85)=0,"","RAS-VET-"&amp;TEXT(ROW()-1,"000"))</f>
        <v/>
      </c>
      <c r="B85" s="8" t="n"/>
      <c r="C85" s="8" t="n"/>
      <c r="D85" s="8" t="n"/>
      <c r="E85" s="8" t="n"/>
      <c r="F85" s="16" t="n"/>
      <c r="G85" s="8" t="n"/>
      <c r="H85" s="17" t="n">
        <v>46232</v>
      </c>
      <c r="I85" s="8" t="n"/>
    </row>
    <row r="86">
      <c r="A86" s="15">
        <f>IF(LEN(B86)=0,"","RAS-VET-"&amp;TEXT(ROW()-1,"000"))</f>
        <v/>
      </c>
      <c r="B86" s="8" t="n"/>
      <c r="C86" s="8" t="n"/>
      <c r="D86" s="8" t="n"/>
      <c r="E86" s="8" t="n"/>
      <c r="F86" s="16" t="n"/>
      <c r="G86" s="8" t="n"/>
      <c r="H86" s="17" t="n">
        <v>46232</v>
      </c>
      <c r="I86" s="8" t="n"/>
    </row>
    <row r="87">
      <c r="A87" s="15">
        <f>IF(LEN(B87)=0,"","RAS-VET-"&amp;TEXT(ROW()-1,"000"))</f>
        <v/>
      </c>
      <c r="B87" s="8" t="n"/>
      <c r="C87" s="8" t="n"/>
      <c r="D87" s="8" t="n"/>
      <c r="E87" s="8" t="n"/>
      <c r="F87" s="16" t="n"/>
      <c r="G87" s="8" t="n"/>
      <c r="H87" s="17" t="n">
        <v>46232</v>
      </c>
      <c r="I87" s="8" t="n"/>
    </row>
    <row r="88">
      <c r="A88" s="15">
        <f>IF(LEN(B88)=0,"","RAS-VET-"&amp;TEXT(ROW()-1,"000"))</f>
        <v/>
      </c>
      <c r="B88" s="8" t="n"/>
      <c r="C88" s="8" t="n"/>
      <c r="D88" s="8" t="n"/>
      <c r="E88" s="8" t="n"/>
      <c r="F88" s="16" t="n"/>
      <c r="G88" s="8" t="n"/>
      <c r="H88" s="17" t="n">
        <v>46232</v>
      </c>
      <c r="I88" s="8" t="n"/>
    </row>
    <row r="89">
      <c r="A89" s="15">
        <f>IF(LEN(B89)=0,"","RAS-VET-"&amp;TEXT(ROW()-1,"000"))</f>
        <v/>
      </c>
      <c r="B89" s="8" t="n"/>
      <c r="C89" s="8" t="n"/>
      <c r="D89" s="8" t="n"/>
      <c r="E89" s="8" t="n"/>
      <c r="F89" s="16" t="n"/>
      <c r="G89" s="8" t="n"/>
      <c r="H89" s="17" t="n">
        <v>46232</v>
      </c>
      <c r="I89" s="8" t="n"/>
    </row>
    <row r="90">
      <c r="A90" s="15">
        <f>IF(LEN(B90)=0,"","RAS-VET-"&amp;TEXT(ROW()-1,"000"))</f>
        <v/>
      </c>
      <c r="B90" s="8" t="n"/>
      <c r="C90" s="8" t="n"/>
      <c r="D90" s="8" t="n"/>
      <c r="E90" s="8" t="n"/>
      <c r="F90" s="16" t="n"/>
      <c r="G90" s="8" t="n"/>
      <c r="H90" s="17" t="n">
        <v>46232</v>
      </c>
      <c r="I90" s="8" t="n"/>
    </row>
    <row r="91">
      <c r="A91" s="15">
        <f>IF(LEN(B91)=0,"","RAS-VET-"&amp;TEXT(ROW()-1,"000"))</f>
        <v/>
      </c>
      <c r="B91" s="8" t="n"/>
      <c r="C91" s="8" t="n"/>
      <c r="D91" s="8" t="n"/>
      <c r="E91" s="8" t="n"/>
      <c r="F91" s="16" t="n"/>
      <c r="G91" s="8" t="n"/>
      <c r="H91" s="17" t="n">
        <v>46232</v>
      </c>
      <c r="I91" s="8" t="n"/>
    </row>
    <row r="92">
      <c r="A92" s="15">
        <f>IF(LEN(B92)=0,"","RAS-VET-"&amp;TEXT(ROW()-1,"000"))</f>
        <v/>
      </c>
      <c r="B92" s="8" t="n"/>
      <c r="C92" s="8" t="n"/>
      <c r="D92" s="8" t="n"/>
      <c r="E92" s="8" t="n"/>
      <c r="F92" s="16" t="n"/>
      <c r="G92" s="8" t="n"/>
      <c r="H92" s="17" t="n">
        <v>46232</v>
      </c>
      <c r="I92" s="8" t="n"/>
    </row>
    <row r="93">
      <c r="A93" s="15">
        <f>IF(LEN(B93)=0,"","RAS-VET-"&amp;TEXT(ROW()-1,"000"))</f>
        <v/>
      </c>
      <c r="B93" s="8" t="n"/>
      <c r="C93" s="8" t="n"/>
      <c r="D93" s="8" t="n"/>
      <c r="E93" s="8" t="n"/>
      <c r="F93" s="16" t="n"/>
      <c r="G93" s="8" t="n"/>
      <c r="H93" s="17" t="n">
        <v>46232</v>
      </c>
      <c r="I93" s="8" t="n"/>
    </row>
    <row r="94">
      <c r="A94" s="15">
        <f>IF(LEN(B94)=0,"","RAS-VET-"&amp;TEXT(ROW()-1,"000"))</f>
        <v/>
      </c>
      <c r="B94" s="8" t="n"/>
      <c r="C94" s="8" t="n"/>
      <c r="D94" s="8" t="n"/>
      <c r="E94" s="8" t="n"/>
      <c r="F94" s="16" t="n"/>
      <c r="G94" s="8" t="n"/>
      <c r="H94" s="17" t="n">
        <v>46232</v>
      </c>
      <c r="I94" s="8" t="n"/>
    </row>
    <row r="95">
      <c r="A95" s="15">
        <f>IF(LEN(B95)=0,"","RAS-VET-"&amp;TEXT(ROW()-1,"000"))</f>
        <v/>
      </c>
      <c r="B95" s="8" t="n"/>
      <c r="C95" s="8" t="n"/>
      <c r="D95" s="8" t="n"/>
      <c r="E95" s="8" t="n"/>
      <c r="F95" s="16" t="n"/>
      <c r="G95" s="8" t="n"/>
      <c r="H95" s="17" t="n">
        <v>46232</v>
      </c>
      <c r="I95" s="8" t="n"/>
    </row>
    <row r="96">
      <c r="A96" s="15">
        <f>IF(LEN(B96)=0,"","RAS-VET-"&amp;TEXT(ROW()-1,"000"))</f>
        <v/>
      </c>
      <c r="B96" s="8" t="n"/>
      <c r="C96" s="8" t="n"/>
      <c r="D96" s="8" t="n"/>
      <c r="E96" s="8" t="n"/>
      <c r="F96" s="16" t="n"/>
      <c r="G96" s="8" t="n"/>
      <c r="H96" s="17" t="n">
        <v>46232</v>
      </c>
      <c r="I96" s="8" t="n"/>
    </row>
    <row r="97">
      <c r="A97" s="15">
        <f>IF(LEN(B97)=0,"","RAS-VET-"&amp;TEXT(ROW()-1,"000"))</f>
        <v/>
      </c>
      <c r="B97" s="8" t="n"/>
      <c r="C97" s="8" t="n"/>
      <c r="D97" s="8" t="n"/>
      <c r="E97" s="8" t="n"/>
      <c r="F97" s="16" t="n"/>
      <c r="G97" s="8" t="n"/>
      <c r="H97" s="17" t="n">
        <v>46232</v>
      </c>
      <c r="I97" s="8" t="n"/>
    </row>
    <row r="98">
      <c r="A98" s="15">
        <f>IF(LEN(B98)=0,"","RAS-VET-"&amp;TEXT(ROW()-1,"000"))</f>
        <v/>
      </c>
      <c r="B98" s="8" t="n"/>
      <c r="C98" s="8" t="n"/>
      <c r="D98" s="8" t="n"/>
      <c r="E98" s="8" t="n"/>
      <c r="F98" s="16" t="n"/>
      <c r="G98" s="8" t="n"/>
      <c r="H98" s="17" t="n">
        <v>46232</v>
      </c>
      <c r="I98" s="8" t="n"/>
    </row>
    <row r="99">
      <c r="A99" s="15">
        <f>IF(LEN(B99)=0,"","RAS-VET-"&amp;TEXT(ROW()-1,"000"))</f>
        <v/>
      </c>
      <c r="B99" s="8" t="n"/>
      <c r="C99" s="8" t="n"/>
      <c r="D99" s="8" t="n"/>
      <c r="E99" s="8" t="n"/>
      <c r="F99" s="16" t="n"/>
      <c r="G99" s="8" t="n"/>
      <c r="H99" s="17" t="n">
        <v>46232</v>
      </c>
      <c r="I99" s="8" t="n"/>
    </row>
    <row r="100">
      <c r="A100" s="15">
        <f>IF(LEN(B100)=0,"","RAS-VET-"&amp;TEXT(ROW()-1,"000"))</f>
        <v/>
      </c>
      <c r="B100" s="8" t="n"/>
      <c r="C100" s="8" t="n"/>
      <c r="D100" s="8" t="n"/>
      <c r="E100" s="8" t="n"/>
      <c r="F100" s="16" t="n"/>
      <c r="G100" s="8" t="n"/>
      <c r="H100" s="17" t="n">
        <v>46232</v>
      </c>
      <c r="I100" s="8" t="n"/>
    </row>
    <row r="101">
      <c r="A101" s="15">
        <f>IF(LEN(B101)=0,"","RAS-VET-"&amp;TEXT(ROW()-1,"000"))</f>
        <v/>
      </c>
      <c r="B101" s="8" t="n"/>
      <c r="C101" s="8" t="n"/>
      <c r="D101" s="8" t="n"/>
      <c r="E101" s="8" t="n"/>
      <c r="F101" s="16" t="n"/>
      <c r="G101" s="8" t="n"/>
      <c r="H101" s="17" t="n">
        <v>46232</v>
      </c>
      <c r="I101" s="8" t="n"/>
    </row>
    <row r="102">
      <c r="A102" s="15">
        <f>IF(LEN(B102)=0,"","RAS-VET-"&amp;TEXT(ROW()-1,"000"))</f>
        <v/>
      </c>
      <c r="B102" s="8" t="n"/>
      <c r="C102" s="8" t="n"/>
      <c r="D102" s="8" t="n"/>
      <c r="E102" s="8" t="n"/>
      <c r="F102" s="16" t="n"/>
      <c r="G102" s="8" t="n"/>
      <c r="H102" s="17" t="n">
        <v>46232</v>
      </c>
      <c r="I102" s="8" t="n"/>
    </row>
    <row r="103">
      <c r="A103" s="15">
        <f>IF(LEN(B103)=0,"","RAS-VET-"&amp;TEXT(ROW()-1,"000"))</f>
        <v/>
      </c>
      <c r="B103" s="8" t="n"/>
      <c r="C103" s="8" t="n"/>
      <c r="D103" s="8" t="n"/>
      <c r="E103" s="8" t="n"/>
      <c r="F103" s="16" t="n"/>
      <c r="G103" s="8" t="n"/>
      <c r="H103" s="17" t="n">
        <v>46232</v>
      </c>
      <c r="I103" s="8" t="n"/>
    </row>
    <row r="104">
      <c r="A104" s="15">
        <f>IF(LEN(B104)=0,"","RAS-VET-"&amp;TEXT(ROW()-1,"000"))</f>
        <v/>
      </c>
      <c r="B104" s="8" t="n"/>
      <c r="C104" s="8" t="n"/>
      <c r="D104" s="8" t="n"/>
      <c r="E104" s="8" t="n"/>
      <c r="F104" s="16" t="n"/>
      <c r="G104" s="8" t="n"/>
      <c r="H104" s="17" t="n">
        <v>46232</v>
      </c>
      <c r="I104" s="8" t="n"/>
    </row>
    <row r="105">
      <c r="A105" s="15">
        <f>IF(LEN(B105)=0,"","RAS-VET-"&amp;TEXT(ROW()-1,"000"))</f>
        <v/>
      </c>
      <c r="B105" s="8" t="n"/>
      <c r="C105" s="8" t="n"/>
      <c r="D105" s="8" t="n"/>
      <c r="E105" s="8" t="n"/>
      <c r="F105" s="16" t="n"/>
      <c r="G105" s="8" t="n"/>
      <c r="H105" s="17" t="n">
        <v>46232</v>
      </c>
      <c r="I105" s="8" t="n"/>
    </row>
    <row r="106">
      <c r="A106" s="15">
        <f>IF(LEN(B106)=0,"","RAS-VET-"&amp;TEXT(ROW()-1,"000"))</f>
        <v/>
      </c>
      <c r="B106" s="8" t="n"/>
      <c r="C106" s="8" t="n"/>
      <c r="D106" s="8" t="n"/>
      <c r="E106" s="8" t="n"/>
      <c r="F106" s="16" t="n"/>
      <c r="G106" s="8" t="n"/>
      <c r="H106" s="17" t="n">
        <v>46232</v>
      </c>
      <c r="I106" s="8" t="n"/>
    </row>
    <row r="107">
      <c r="A107" s="15">
        <f>IF(LEN(B107)=0,"","RAS-VET-"&amp;TEXT(ROW()-1,"000"))</f>
        <v/>
      </c>
      <c r="B107" s="8" t="n"/>
      <c r="C107" s="8" t="n"/>
      <c r="D107" s="8" t="n"/>
      <c r="E107" s="8" t="n"/>
      <c r="F107" s="16" t="n"/>
      <c r="G107" s="8" t="n"/>
      <c r="H107" s="17" t="n">
        <v>46232</v>
      </c>
      <c r="I107" s="8" t="n"/>
    </row>
    <row r="108">
      <c r="A108" s="15">
        <f>IF(LEN(B108)=0,"","RAS-VET-"&amp;TEXT(ROW()-1,"000"))</f>
        <v/>
      </c>
      <c r="B108" s="8" t="n"/>
      <c r="C108" s="8" t="n"/>
      <c r="D108" s="8" t="n"/>
      <c r="E108" s="8" t="n"/>
      <c r="F108" s="16" t="n"/>
      <c r="G108" s="8" t="n"/>
      <c r="H108" s="17" t="n">
        <v>46232</v>
      </c>
      <c r="I108" s="8" t="n"/>
    </row>
    <row r="109">
      <c r="A109" s="15">
        <f>IF(LEN(B109)=0,"","RAS-VET-"&amp;TEXT(ROW()-1,"000"))</f>
        <v/>
      </c>
      <c r="B109" s="8" t="n"/>
      <c r="C109" s="8" t="n"/>
      <c r="D109" s="8" t="n"/>
      <c r="E109" s="8" t="n"/>
      <c r="F109" s="16" t="n"/>
      <c r="G109" s="8" t="n"/>
      <c r="H109" s="17" t="n">
        <v>46232</v>
      </c>
      <c r="I109" s="8" t="n"/>
    </row>
    <row r="110">
      <c r="A110" s="15">
        <f>IF(LEN(B110)=0,"","RAS-VET-"&amp;TEXT(ROW()-1,"000"))</f>
        <v/>
      </c>
      <c r="B110" s="8" t="n"/>
      <c r="C110" s="8" t="n"/>
      <c r="D110" s="8" t="n"/>
      <c r="E110" s="8" t="n"/>
      <c r="F110" s="16" t="n"/>
      <c r="G110" s="8" t="n"/>
      <c r="H110" s="17" t="n">
        <v>46232</v>
      </c>
      <c r="I110" s="8" t="n"/>
    </row>
    <row r="111">
      <c r="A111" s="15">
        <f>IF(LEN(B111)=0,"","RAS-VET-"&amp;TEXT(ROW()-1,"000"))</f>
        <v/>
      </c>
      <c r="B111" s="8" t="n"/>
      <c r="C111" s="8" t="n"/>
      <c r="D111" s="8" t="n"/>
      <c r="E111" s="8" t="n"/>
      <c r="F111" s="16" t="n"/>
      <c r="G111" s="8" t="n"/>
      <c r="H111" s="17" t="n">
        <v>46232</v>
      </c>
      <c r="I111" s="8" t="n"/>
    </row>
    <row r="112">
      <c r="A112" s="15">
        <f>IF(LEN(B112)=0,"","RAS-VET-"&amp;TEXT(ROW()-1,"000"))</f>
        <v/>
      </c>
      <c r="B112" s="8" t="n"/>
      <c r="C112" s="8" t="n"/>
      <c r="D112" s="8" t="n"/>
      <c r="E112" s="8" t="n"/>
      <c r="F112" s="16" t="n"/>
      <c r="G112" s="8" t="n"/>
      <c r="H112" s="17" t="n">
        <v>46232</v>
      </c>
      <c r="I112" s="8" t="n"/>
    </row>
    <row r="113">
      <c r="A113" s="15">
        <f>IF(LEN(B113)=0,"","RAS-VET-"&amp;TEXT(ROW()-1,"000"))</f>
        <v/>
      </c>
      <c r="B113" s="8" t="n"/>
      <c r="C113" s="8" t="n"/>
      <c r="D113" s="8" t="n"/>
      <c r="E113" s="8" t="n"/>
      <c r="F113" s="16" t="n"/>
      <c r="G113" s="8" t="n"/>
      <c r="H113" s="17" t="n">
        <v>46232</v>
      </c>
      <c r="I113" s="8" t="n"/>
    </row>
    <row r="114">
      <c r="A114" s="15">
        <f>IF(LEN(B114)=0,"","RAS-VET-"&amp;TEXT(ROW()-1,"000"))</f>
        <v/>
      </c>
      <c r="B114" s="8" t="n"/>
      <c r="C114" s="8" t="n"/>
      <c r="D114" s="8" t="n"/>
      <c r="E114" s="8" t="n"/>
      <c r="F114" s="16" t="n"/>
      <c r="G114" s="8" t="n"/>
      <c r="H114" s="17" t="n">
        <v>46232</v>
      </c>
      <c r="I114" s="8" t="n"/>
    </row>
    <row r="115">
      <c r="A115" s="15">
        <f>IF(LEN(B115)=0,"","RAS-VET-"&amp;TEXT(ROW()-1,"000"))</f>
        <v/>
      </c>
      <c r="B115" s="8" t="n"/>
      <c r="C115" s="8" t="n"/>
      <c r="D115" s="8" t="n"/>
      <c r="E115" s="8" t="n"/>
      <c r="F115" s="16" t="n"/>
      <c r="G115" s="8" t="n"/>
      <c r="H115" s="17" t="n">
        <v>46232</v>
      </c>
      <c r="I115" s="8" t="n"/>
    </row>
    <row r="116">
      <c r="A116" s="15">
        <f>IF(LEN(B116)=0,"","RAS-VET-"&amp;TEXT(ROW()-1,"000"))</f>
        <v/>
      </c>
      <c r="B116" s="8" t="n"/>
      <c r="C116" s="8" t="n"/>
      <c r="D116" s="8" t="n"/>
      <c r="E116" s="8" t="n"/>
      <c r="F116" s="16" t="n"/>
      <c r="G116" s="8" t="n"/>
      <c r="H116" s="17" t="n">
        <v>46232</v>
      </c>
      <c r="I116" s="8" t="n"/>
    </row>
    <row r="117">
      <c r="A117" s="15">
        <f>IF(LEN(B117)=0,"","RAS-VET-"&amp;TEXT(ROW()-1,"000"))</f>
        <v/>
      </c>
      <c r="B117" s="8" t="n"/>
      <c r="C117" s="8" t="n"/>
      <c r="D117" s="8" t="n"/>
      <c r="E117" s="8" t="n"/>
      <c r="F117" s="16" t="n"/>
      <c r="G117" s="8" t="n"/>
      <c r="H117" s="17" t="n">
        <v>46232</v>
      </c>
      <c r="I117" s="8" t="n"/>
    </row>
    <row r="118">
      <c r="A118" s="15">
        <f>IF(LEN(B118)=0,"","RAS-VET-"&amp;TEXT(ROW()-1,"000"))</f>
        <v/>
      </c>
      <c r="B118" s="8" t="n"/>
      <c r="C118" s="8" t="n"/>
      <c r="D118" s="8" t="n"/>
      <c r="E118" s="8" t="n"/>
      <c r="F118" s="16" t="n"/>
      <c r="G118" s="8" t="n"/>
      <c r="H118" s="17" t="n">
        <v>46232</v>
      </c>
      <c r="I118" s="8" t="n"/>
    </row>
    <row r="119">
      <c r="A119" s="15">
        <f>IF(LEN(B119)=0,"","RAS-VET-"&amp;TEXT(ROW()-1,"000"))</f>
        <v/>
      </c>
      <c r="B119" s="8" t="n"/>
      <c r="C119" s="8" t="n"/>
      <c r="D119" s="8" t="n"/>
      <c r="E119" s="8" t="n"/>
      <c r="F119" s="16" t="n"/>
      <c r="G119" s="8" t="n"/>
      <c r="H119" s="17" t="n">
        <v>46232</v>
      </c>
      <c r="I119" s="8" t="n"/>
    </row>
    <row r="120">
      <c r="A120" s="15">
        <f>IF(LEN(B120)=0,"","RAS-VET-"&amp;TEXT(ROW()-1,"000"))</f>
        <v/>
      </c>
      <c r="B120" s="8" t="n"/>
      <c r="C120" s="8" t="n"/>
      <c r="D120" s="8" t="n"/>
      <c r="E120" s="8" t="n"/>
      <c r="F120" s="16" t="n"/>
      <c r="G120" s="8" t="n"/>
      <c r="H120" s="17" t="n">
        <v>46232</v>
      </c>
      <c r="I120" s="8" t="n"/>
    </row>
    <row r="121">
      <c r="A121" s="15">
        <f>IF(LEN(B121)=0,"","RAS-VET-"&amp;TEXT(ROW()-1,"000"))</f>
        <v/>
      </c>
      <c r="B121" s="8" t="n"/>
      <c r="C121" s="8" t="n"/>
      <c r="D121" s="8" t="n"/>
      <c r="E121" s="8" t="n"/>
      <c r="F121" s="16" t="n"/>
      <c r="G121" s="8" t="n"/>
      <c r="H121" s="17" t="n">
        <v>46232</v>
      </c>
      <c r="I121" s="8" t="n"/>
    </row>
    <row r="122">
      <c r="A122" s="15">
        <f>IF(LEN(B122)=0,"","RAS-VET-"&amp;TEXT(ROW()-1,"000"))</f>
        <v/>
      </c>
      <c r="B122" s="8" t="n"/>
      <c r="C122" s="8" t="n"/>
      <c r="D122" s="8" t="n"/>
      <c r="E122" s="8" t="n"/>
      <c r="F122" s="16" t="n"/>
      <c r="G122" s="8" t="n"/>
      <c r="H122" s="17" t="n">
        <v>46232</v>
      </c>
      <c r="I122" s="8" t="n"/>
    </row>
    <row r="123">
      <c r="A123" s="15">
        <f>IF(LEN(B123)=0,"","RAS-VET-"&amp;TEXT(ROW()-1,"000"))</f>
        <v/>
      </c>
      <c r="B123" s="8" t="n"/>
      <c r="C123" s="8" t="n"/>
      <c r="D123" s="8" t="n"/>
      <c r="E123" s="8" t="n"/>
      <c r="F123" s="16" t="n"/>
      <c r="G123" s="8" t="n"/>
      <c r="H123" s="17" t="n">
        <v>46232</v>
      </c>
      <c r="I123" s="8" t="n"/>
    </row>
    <row r="124">
      <c r="A124" s="15">
        <f>IF(LEN(B124)=0,"","RAS-VET-"&amp;TEXT(ROW()-1,"000"))</f>
        <v/>
      </c>
      <c r="B124" s="8" t="n"/>
      <c r="C124" s="8" t="n"/>
      <c r="D124" s="8" t="n"/>
      <c r="E124" s="8" t="n"/>
      <c r="F124" s="16" t="n"/>
      <c r="G124" s="8" t="n"/>
      <c r="H124" s="17" t="n">
        <v>46232</v>
      </c>
      <c r="I124" s="8" t="n"/>
    </row>
    <row r="125">
      <c r="A125" s="15">
        <f>IF(LEN(B125)=0,"","RAS-VET-"&amp;TEXT(ROW()-1,"000"))</f>
        <v/>
      </c>
      <c r="B125" s="8" t="n"/>
      <c r="C125" s="8" t="n"/>
      <c r="D125" s="8" t="n"/>
      <c r="E125" s="8" t="n"/>
      <c r="F125" s="16" t="n"/>
      <c r="G125" s="8" t="n"/>
      <c r="H125" s="17" t="n">
        <v>46232</v>
      </c>
      <c r="I125" s="8" t="n"/>
    </row>
    <row r="126">
      <c r="A126" s="15">
        <f>IF(LEN(B126)=0,"","RAS-VET-"&amp;TEXT(ROW()-1,"000"))</f>
        <v/>
      </c>
      <c r="B126" s="8" t="n"/>
      <c r="C126" s="8" t="n"/>
      <c r="D126" s="8" t="n"/>
      <c r="E126" s="8" t="n"/>
      <c r="F126" s="16" t="n"/>
      <c r="G126" s="8" t="n"/>
      <c r="H126" s="17" t="n">
        <v>46232</v>
      </c>
      <c r="I126" s="8" t="n"/>
    </row>
    <row r="127">
      <c r="A127" s="15">
        <f>IF(LEN(B127)=0,"","RAS-VET-"&amp;TEXT(ROW()-1,"000"))</f>
        <v/>
      </c>
      <c r="B127" s="8" t="n"/>
      <c r="C127" s="8" t="n"/>
      <c r="D127" s="8" t="n"/>
      <c r="E127" s="8" t="n"/>
      <c r="F127" s="16" t="n"/>
      <c r="G127" s="8" t="n"/>
      <c r="H127" s="17" t="n">
        <v>46232</v>
      </c>
      <c r="I127" s="8" t="n"/>
    </row>
    <row r="128">
      <c r="A128" s="15">
        <f>IF(LEN(B128)=0,"","RAS-VET-"&amp;TEXT(ROW()-1,"000"))</f>
        <v/>
      </c>
      <c r="B128" s="8" t="n"/>
      <c r="C128" s="8" t="n"/>
      <c r="D128" s="8" t="n"/>
      <c r="E128" s="8" t="n"/>
      <c r="F128" s="16" t="n"/>
      <c r="G128" s="8" t="n"/>
      <c r="H128" s="17" t="n">
        <v>46232</v>
      </c>
      <c r="I128" s="8" t="n"/>
    </row>
    <row r="129">
      <c r="A129" s="15">
        <f>IF(LEN(B129)=0,"","RAS-VET-"&amp;TEXT(ROW()-1,"000"))</f>
        <v/>
      </c>
      <c r="B129" s="8" t="n"/>
      <c r="C129" s="8" t="n"/>
      <c r="D129" s="8" t="n"/>
      <c r="E129" s="8" t="n"/>
      <c r="F129" s="16" t="n"/>
      <c r="G129" s="8" t="n"/>
      <c r="H129" s="17" t="n">
        <v>46232</v>
      </c>
      <c r="I129" s="8" t="n"/>
    </row>
    <row r="130">
      <c r="A130" s="15">
        <f>IF(LEN(B130)=0,"","RAS-VET-"&amp;TEXT(ROW()-1,"000"))</f>
        <v/>
      </c>
      <c r="B130" s="8" t="n"/>
      <c r="C130" s="8" t="n"/>
      <c r="D130" s="8" t="n"/>
      <c r="E130" s="8" t="n"/>
      <c r="F130" s="16" t="n"/>
      <c r="G130" s="8" t="n"/>
      <c r="H130" s="17" t="n">
        <v>46232</v>
      </c>
      <c r="I130" s="8" t="n"/>
    </row>
    <row r="131">
      <c r="A131" s="15">
        <f>IF(LEN(B131)=0,"","RAS-VET-"&amp;TEXT(ROW()-1,"000"))</f>
        <v/>
      </c>
      <c r="B131" s="8" t="n"/>
      <c r="C131" s="8" t="n"/>
      <c r="D131" s="8" t="n"/>
      <c r="E131" s="8" t="n"/>
      <c r="F131" s="16" t="n"/>
      <c r="G131" s="8" t="n"/>
      <c r="H131" s="17" t="n">
        <v>46232</v>
      </c>
      <c r="I131" s="8" t="n"/>
    </row>
    <row r="132">
      <c r="A132" s="15">
        <f>IF(LEN(B132)=0,"","RAS-VET-"&amp;TEXT(ROW()-1,"000"))</f>
        <v/>
      </c>
      <c r="B132" s="8" t="n"/>
      <c r="C132" s="8" t="n"/>
      <c r="D132" s="8" t="n"/>
      <c r="E132" s="8" t="n"/>
      <c r="F132" s="16" t="n"/>
      <c r="G132" s="8" t="n"/>
      <c r="H132" s="17" t="n">
        <v>46232</v>
      </c>
      <c r="I132" s="8" t="n"/>
    </row>
    <row r="133">
      <c r="A133" s="15">
        <f>IF(LEN(B133)=0,"","RAS-VET-"&amp;TEXT(ROW()-1,"000"))</f>
        <v/>
      </c>
      <c r="B133" s="8" t="n"/>
      <c r="C133" s="8" t="n"/>
      <c r="D133" s="8" t="n"/>
      <c r="E133" s="8" t="n"/>
      <c r="F133" s="16" t="n"/>
      <c r="G133" s="8" t="n"/>
      <c r="H133" s="17" t="n">
        <v>46232</v>
      </c>
      <c r="I133" s="8" t="n"/>
    </row>
    <row r="134">
      <c r="A134" s="15">
        <f>IF(LEN(B134)=0,"","RAS-VET-"&amp;TEXT(ROW()-1,"000"))</f>
        <v/>
      </c>
      <c r="B134" s="8" t="n"/>
      <c r="C134" s="8" t="n"/>
      <c r="D134" s="8" t="n"/>
      <c r="E134" s="8" t="n"/>
      <c r="F134" s="16" t="n"/>
      <c r="G134" s="8" t="n"/>
      <c r="H134" s="17" t="n">
        <v>46232</v>
      </c>
      <c r="I134" s="8" t="n"/>
    </row>
    <row r="135">
      <c r="A135" s="15">
        <f>IF(LEN(B135)=0,"","RAS-VET-"&amp;TEXT(ROW()-1,"000"))</f>
        <v/>
      </c>
      <c r="B135" s="8" t="n"/>
      <c r="C135" s="8" t="n"/>
      <c r="D135" s="8" t="n"/>
      <c r="E135" s="8" t="n"/>
      <c r="F135" s="16" t="n"/>
      <c r="G135" s="8" t="n"/>
      <c r="H135" s="17" t="n">
        <v>46232</v>
      </c>
      <c r="I135" s="8" t="n"/>
    </row>
    <row r="136">
      <c r="A136" s="15">
        <f>IF(LEN(B136)=0,"","RAS-VET-"&amp;TEXT(ROW()-1,"000"))</f>
        <v/>
      </c>
      <c r="B136" s="8" t="n"/>
      <c r="C136" s="8" t="n"/>
      <c r="D136" s="8" t="n"/>
      <c r="E136" s="8" t="n"/>
      <c r="F136" s="16" t="n"/>
      <c r="G136" s="8" t="n"/>
      <c r="H136" s="17" t="n">
        <v>46232</v>
      </c>
      <c r="I136" s="8" t="n"/>
    </row>
    <row r="137">
      <c r="A137" s="15">
        <f>IF(LEN(B137)=0,"","RAS-VET-"&amp;TEXT(ROW()-1,"000"))</f>
        <v/>
      </c>
      <c r="B137" s="8" t="n"/>
      <c r="C137" s="8" t="n"/>
      <c r="D137" s="8" t="n"/>
      <c r="E137" s="8" t="n"/>
      <c r="F137" s="16" t="n"/>
      <c r="G137" s="8" t="n"/>
      <c r="H137" s="17" t="n">
        <v>46232</v>
      </c>
      <c r="I137" s="8" t="n"/>
    </row>
    <row r="138">
      <c r="A138" s="15">
        <f>IF(LEN(B138)=0,"","RAS-VET-"&amp;TEXT(ROW()-1,"000"))</f>
        <v/>
      </c>
      <c r="B138" s="8" t="n"/>
      <c r="C138" s="8" t="n"/>
      <c r="D138" s="8" t="n"/>
      <c r="E138" s="8" t="n"/>
      <c r="F138" s="16" t="n"/>
      <c r="G138" s="8" t="n"/>
      <c r="H138" s="17" t="n">
        <v>46232</v>
      </c>
      <c r="I138" s="8" t="n"/>
    </row>
    <row r="139">
      <c r="A139" s="15">
        <f>IF(LEN(B139)=0,"","RAS-VET-"&amp;TEXT(ROW()-1,"000"))</f>
        <v/>
      </c>
      <c r="B139" s="8" t="n"/>
      <c r="C139" s="8" t="n"/>
      <c r="D139" s="8" t="n"/>
      <c r="E139" s="8" t="n"/>
      <c r="F139" s="16" t="n"/>
      <c r="G139" s="8" t="n"/>
      <c r="H139" s="17" t="n">
        <v>46232</v>
      </c>
      <c r="I139" s="8" t="n"/>
    </row>
    <row r="140">
      <c r="A140" s="15">
        <f>IF(LEN(B140)=0,"","RAS-VET-"&amp;TEXT(ROW()-1,"000"))</f>
        <v/>
      </c>
      <c r="B140" s="8" t="n"/>
      <c r="C140" s="8" t="n"/>
      <c r="D140" s="8" t="n"/>
      <c r="E140" s="8" t="n"/>
      <c r="F140" s="16" t="n"/>
      <c r="G140" s="8" t="n"/>
      <c r="H140" s="17" t="n">
        <v>46232</v>
      </c>
      <c r="I140" s="8" t="n"/>
    </row>
    <row r="141">
      <c r="A141" s="15">
        <f>IF(LEN(B141)=0,"","RAS-VET-"&amp;TEXT(ROW()-1,"000"))</f>
        <v/>
      </c>
      <c r="B141" s="8" t="n"/>
      <c r="C141" s="8" t="n"/>
      <c r="D141" s="8" t="n"/>
      <c r="E141" s="8" t="n"/>
      <c r="F141" s="16" t="n"/>
      <c r="G141" s="8" t="n"/>
      <c r="H141" s="17" t="n">
        <v>46232</v>
      </c>
      <c r="I141" s="8" t="n"/>
    </row>
    <row r="142">
      <c r="A142" s="15">
        <f>IF(LEN(B142)=0,"","RAS-VET-"&amp;TEXT(ROW()-1,"000"))</f>
        <v/>
      </c>
      <c r="B142" s="8" t="n"/>
      <c r="C142" s="8" t="n"/>
      <c r="D142" s="8" t="n"/>
      <c r="E142" s="8" t="n"/>
      <c r="F142" s="16" t="n"/>
      <c r="G142" s="8" t="n"/>
      <c r="H142" s="17" t="n">
        <v>46232</v>
      </c>
      <c r="I142" s="8" t="n"/>
    </row>
    <row r="143">
      <c r="A143" s="15">
        <f>IF(LEN(B143)=0,"","RAS-VET-"&amp;TEXT(ROW()-1,"000"))</f>
        <v/>
      </c>
      <c r="B143" s="8" t="n"/>
      <c r="C143" s="8" t="n"/>
      <c r="D143" s="8" t="n"/>
      <c r="E143" s="8" t="n"/>
      <c r="F143" s="16" t="n"/>
      <c r="G143" s="8" t="n"/>
      <c r="H143" s="17" t="n">
        <v>46232</v>
      </c>
      <c r="I143" s="8" t="n"/>
    </row>
    <row r="144">
      <c r="A144" s="15">
        <f>IF(LEN(B144)=0,"","RAS-VET-"&amp;TEXT(ROW()-1,"000"))</f>
        <v/>
      </c>
      <c r="B144" s="8" t="n"/>
      <c r="C144" s="8" t="n"/>
      <c r="D144" s="8" t="n"/>
      <c r="E144" s="8" t="n"/>
      <c r="F144" s="16" t="n"/>
      <c r="G144" s="8" t="n"/>
      <c r="H144" s="17" t="n">
        <v>46232</v>
      </c>
      <c r="I144" s="8" t="n"/>
    </row>
    <row r="145">
      <c r="A145" s="15">
        <f>IF(LEN(B145)=0,"","RAS-VET-"&amp;TEXT(ROW()-1,"000"))</f>
        <v/>
      </c>
      <c r="B145" s="8" t="n"/>
      <c r="C145" s="8" t="n"/>
      <c r="D145" s="8" t="n"/>
      <c r="E145" s="8" t="n"/>
      <c r="F145" s="16" t="n"/>
      <c r="G145" s="8" t="n"/>
      <c r="H145" s="17" t="n">
        <v>46232</v>
      </c>
      <c r="I145" s="8" t="n"/>
    </row>
    <row r="146">
      <c r="A146" s="15">
        <f>IF(LEN(B146)=0,"","RAS-VET-"&amp;TEXT(ROW()-1,"000"))</f>
        <v/>
      </c>
      <c r="B146" s="8" t="n"/>
      <c r="C146" s="8" t="n"/>
      <c r="D146" s="8" t="n"/>
      <c r="E146" s="8" t="n"/>
      <c r="F146" s="16" t="n"/>
      <c r="G146" s="8" t="n"/>
      <c r="H146" s="17" t="n">
        <v>46232</v>
      </c>
      <c r="I146" s="8" t="n"/>
    </row>
    <row r="147">
      <c r="A147" s="15">
        <f>IF(LEN(B147)=0,"","RAS-VET-"&amp;TEXT(ROW()-1,"000"))</f>
        <v/>
      </c>
      <c r="B147" s="8" t="n"/>
      <c r="C147" s="8" t="n"/>
      <c r="D147" s="8" t="n"/>
      <c r="E147" s="8" t="n"/>
      <c r="F147" s="16" t="n"/>
      <c r="G147" s="8" t="n"/>
      <c r="H147" s="17" t="n">
        <v>46232</v>
      </c>
      <c r="I147" s="8" t="n"/>
    </row>
    <row r="148">
      <c r="A148" s="15">
        <f>IF(LEN(B148)=0,"","RAS-VET-"&amp;TEXT(ROW()-1,"000"))</f>
        <v/>
      </c>
      <c r="B148" s="8" t="n"/>
      <c r="C148" s="8" t="n"/>
      <c r="D148" s="8" t="n"/>
      <c r="E148" s="8" t="n"/>
      <c r="F148" s="16" t="n"/>
      <c r="G148" s="8" t="n"/>
      <c r="H148" s="17" t="n">
        <v>46232</v>
      </c>
      <c r="I148" s="8" t="n"/>
    </row>
    <row r="149">
      <c r="A149" s="15">
        <f>IF(LEN(B149)=0,"","RAS-VET-"&amp;TEXT(ROW()-1,"000"))</f>
        <v/>
      </c>
      <c r="B149" s="8" t="n"/>
      <c r="C149" s="8" t="n"/>
      <c r="D149" s="8" t="n"/>
      <c r="E149" s="8" t="n"/>
      <c r="F149" s="16" t="n"/>
      <c r="G149" s="8" t="n"/>
      <c r="H149" s="17" t="n">
        <v>46232</v>
      </c>
      <c r="I149" s="8" t="n"/>
    </row>
    <row r="150">
      <c r="A150" s="15">
        <f>IF(LEN(B150)=0,"","RAS-VET-"&amp;TEXT(ROW()-1,"000"))</f>
        <v/>
      </c>
      <c r="B150" s="8" t="n"/>
      <c r="C150" s="8" t="n"/>
      <c r="D150" s="8" t="n"/>
      <c r="E150" s="8" t="n"/>
      <c r="F150" s="16" t="n"/>
      <c r="G150" s="8" t="n"/>
      <c r="H150" s="17" t="n">
        <v>46232</v>
      </c>
      <c r="I150" s="8" t="n"/>
    </row>
    <row r="151">
      <c r="A151" s="15">
        <f>IF(LEN(B151)=0,"","RAS-VET-"&amp;TEXT(ROW()-1,"000"))</f>
        <v/>
      </c>
      <c r="B151" s="8" t="n"/>
      <c r="C151" s="8" t="n"/>
      <c r="D151" s="8" t="n"/>
      <c r="E151" s="8" t="n"/>
      <c r="F151" s="16" t="n"/>
      <c r="G151" s="8" t="n"/>
      <c r="H151" s="17" t="n">
        <v>46232</v>
      </c>
      <c r="I151" s="8" t="n"/>
    </row>
    <row r="152">
      <c r="A152" s="15">
        <f>IF(LEN(B152)=0,"","RAS-VET-"&amp;TEXT(ROW()-1,"000"))</f>
        <v/>
      </c>
      <c r="B152" s="8" t="n"/>
      <c r="C152" s="8" t="n"/>
      <c r="D152" s="8" t="n"/>
      <c r="E152" s="8" t="n"/>
      <c r="F152" s="16" t="n"/>
      <c r="G152" s="8" t="n"/>
      <c r="H152" s="17" t="n">
        <v>46232</v>
      </c>
      <c r="I152" s="8" t="n"/>
    </row>
    <row r="153">
      <c r="A153" s="15">
        <f>IF(LEN(B153)=0,"","RAS-VET-"&amp;TEXT(ROW()-1,"000"))</f>
        <v/>
      </c>
      <c r="B153" s="8" t="n"/>
      <c r="C153" s="8" t="n"/>
      <c r="D153" s="8" t="n"/>
      <c r="E153" s="8" t="n"/>
      <c r="F153" s="16" t="n"/>
      <c r="G153" s="8" t="n"/>
      <c r="H153" s="17" t="n">
        <v>46232</v>
      </c>
      <c r="I153" s="8" t="n"/>
    </row>
    <row r="154">
      <c r="A154" s="15">
        <f>IF(LEN(B154)=0,"","RAS-VET-"&amp;TEXT(ROW()-1,"000"))</f>
        <v/>
      </c>
      <c r="B154" s="8" t="n"/>
      <c r="C154" s="8" t="n"/>
      <c r="D154" s="8" t="n"/>
      <c r="E154" s="8" t="n"/>
      <c r="F154" s="16" t="n"/>
      <c r="G154" s="8" t="n"/>
      <c r="H154" s="17" t="n">
        <v>46232</v>
      </c>
      <c r="I154" s="8" t="n"/>
    </row>
    <row r="155">
      <c r="A155" s="15">
        <f>IF(LEN(B155)=0,"","RAS-VET-"&amp;TEXT(ROW()-1,"000"))</f>
        <v/>
      </c>
      <c r="B155" s="8" t="n"/>
      <c r="C155" s="8" t="n"/>
      <c r="D155" s="8" t="n"/>
      <c r="E155" s="8" t="n"/>
      <c r="F155" s="16" t="n"/>
      <c r="G155" s="8" t="n"/>
      <c r="H155" s="17" t="n">
        <v>46232</v>
      </c>
      <c r="I155" s="8" t="n"/>
    </row>
    <row r="156">
      <c r="A156" s="15">
        <f>IF(LEN(B156)=0,"","RAS-VET-"&amp;TEXT(ROW()-1,"000"))</f>
        <v/>
      </c>
      <c r="B156" s="8" t="n"/>
      <c r="C156" s="8" t="n"/>
      <c r="D156" s="8" t="n"/>
      <c r="E156" s="8" t="n"/>
      <c r="F156" s="16" t="n"/>
      <c r="G156" s="8" t="n"/>
      <c r="H156" s="17" t="n">
        <v>46232</v>
      </c>
      <c r="I156" s="8" t="n"/>
    </row>
    <row r="157">
      <c r="A157" s="15">
        <f>IF(LEN(B157)=0,"","RAS-VET-"&amp;TEXT(ROW()-1,"000"))</f>
        <v/>
      </c>
      <c r="B157" s="8" t="n"/>
      <c r="C157" s="8" t="n"/>
      <c r="D157" s="8" t="n"/>
      <c r="E157" s="8" t="n"/>
      <c r="F157" s="16" t="n"/>
      <c r="G157" s="8" t="n"/>
      <c r="H157" s="17" t="n">
        <v>46232</v>
      </c>
      <c r="I157" s="8" t="n"/>
    </row>
    <row r="158">
      <c r="A158" s="15">
        <f>IF(LEN(B158)=0,"","RAS-VET-"&amp;TEXT(ROW()-1,"000"))</f>
        <v/>
      </c>
      <c r="B158" s="8" t="n"/>
      <c r="C158" s="8" t="n"/>
      <c r="D158" s="8" t="n"/>
      <c r="E158" s="8" t="n"/>
      <c r="F158" s="16" t="n"/>
      <c r="G158" s="8" t="n"/>
      <c r="H158" s="17" t="n">
        <v>46232</v>
      </c>
      <c r="I158" s="8" t="n"/>
    </row>
    <row r="159">
      <c r="A159" s="15">
        <f>IF(LEN(B159)=0,"","RAS-VET-"&amp;TEXT(ROW()-1,"000"))</f>
        <v/>
      </c>
      <c r="B159" s="8" t="n"/>
      <c r="C159" s="8" t="n"/>
      <c r="D159" s="8" t="n"/>
      <c r="E159" s="8" t="n"/>
      <c r="F159" s="16" t="n"/>
      <c r="G159" s="8" t="n"/>
      <c r="H159" s="17" t="n">
        <v>46232</v>
      </c>
      <c r="I159" s="8" t="n"/>
    </row>
    <row r="160">
      <c r="A160" s="15">
        <f>IF(LEN(B160)=0,"","RAS-VET-"&amp;TEXT(ROW()-1,"000"))</f>
        <v/>
      </c>
      <c r="B160" s="8" t="n"/>
      <c r="C160" s="8" t="n"/>
      <c r="D160" s="8" t="n"/>
      <c r="E160" s="8" t="n"/>
      <c r="F160" s="16" t="n"/>
      <c r="G160" s="8" t="n"/>
      <c r="H160" s="17" t="n">
        <v>46232</v>
      </c>
      <c r="I160" s="8" t="n"/>
    </row>
    <row r="161">
      <c r="A161" s="15">
        <f>IF(LEN(B161)=0,"","RAS-VET-"&amp;TEXT(ROW()-1,"000"))</f>
        <v/>
      </c>
      <c r="B161" s="8" t="n"/>
      <c r="C161" s="8" t="n"/>
      <c r="D161" s="8" t="n"/>
      <c r="E161" s="8" t="n"/>
      <c r="F161" s="16" t="n"/>
      <c r="G161" s="8" t="n"/>
      <c r="H161" s="17" t="n">
        <v>46232</v>
      </c>
      <c r="I161" s="8" t="n"/>
    </row>
    <row r="162">
      <c r="A162" s="15">
        <f>IF(LEN(B162)=0,"","RAS-VET-"&amp;TEXT(ROW()-1,"000"))</f>
        <v/>
      </c>
      <c r="B162" s="8" t="n"/>
      <c r="C162" s="8" t="n"/>
      <c r="D162" s="8" t="n"/>
      <c r="E162" s="8" t="n"/>
      <c r="F162" s="16" t="n"/>
      <c r="G162" s="8" t="n"/>
      <c r="H162" s="17" t="n">
        <v>46232</v>
      </c>
      <c r="I162" s="8" t="n"/>
    </row>
    <row r="163">
      <c r="A163" s="15">
        <f>IF(LEN(B163)=0,"","RAS-VET-"&amp;TEXT(ROW()-1,"000"))</f>
        <v/>
      </c>
      <c r="B163" s="8" t="n"/>
      <c r="C163" s="8" t="n"/>
      <c r="D163" s="8" t="n"/>
      <c r="E163" s="8" t="n"/>
      <c r="F163" s="16" t="n"/>
      <c r="G163" s="8" t="n"/>
      <c r="H163" s="17" t="n">
        <v>46232</v>
      </c>
      <c r="I163" s="8" t="n"/>
    </row>
    <row r="164">
      <c r="A164" s="15">
        <f>IF(LEN(B164)=0,"","RAS-VET-"&amp;TEXT(ROW()-1,"000"))</f>
        <v/>
      </c>
      <c r="B164" s="8" t="n"/>
      <c r="C164" s="8" t="n"/>
      <c r="D164" s="8" t="n"/>
      <c r="E164" s="8" t="n"/>
      <c r="F164" s="16" t="n"/>
      <c r="G164" s="8" t="n"/>
      <c r="H164" s="17" t="n">
        <v>46232</v>
      </c>
      <c r="I164" s="8" t="n"/>
    </row>
    <row r="165">
      <c r="A165" s="15">
        <f>IF(LEN(B165)=0,"","RAS-VET-"&amp;TEXT(ROW()-1,"000"))</f>
        <v/>
      </c>
      <c r="B165" s="8" t="n"/>
      <c r="C165" s="8" t="n"/>
      <c r="D165" s="8" t="n"/>
      <c r="E165" s="8" t="n"/>
      <c r="F165" s="16" t="n"/>
      <c r="G165" s="8" t="n"/>
      <c r="H165" s="17" t="n">
        <v>46232</v>
      </c>
      <c r="I165" s="8" t="n"/>
    </row>
    <row r="166">
      <c r="A166" s="15">
        <f>IF(LEN(B166)=0,"","RAS-VET-"&amp;TEXT(ROW()-1,"000"))</f>
        <v/>
      </c>
      <c r="B166" s="8" t="n"/>
      <c r="C166" s="8" t="n"/>
      <c r="D166" s="8" t="n"/>
      <c r="E166" s="8" t="n"/>
      <c r="F166" s="16" t="n"/>
      <c r="G166" s="8" t="n"/>
      <c r="H166" s="17" t="n">
        <v>46232</v>
      </c>
      <c r="I166" s="8" t="n"/>
    </row>
    <row r="167">
      <c r="A167" s="15">
        <f>IF(LEN(B167)=0,"","RAS-VET-"&amp;TEXT(ROW()-1,"000"))</f>
        <v/>
      </c>
      <c r="B167" s="8" t="n"/>
      <c r="C167" s="8" t="n"/>
      <c r="D167" s="8" t="n"/>
      <c r="E167" s="8" t="n"/>
      <c r="F167" s="16" t="n"/>
      <c r="G167" s="8" t="n"/>
      <c r="H167" s="17" t="n">
        <v>46232</v>
      </c>
      <c r="I167" s="8" t="n"/>
    </row>
    <row r="168">
      <c r="A168" s="15">
        <f>IF(LEN(B168)=0,"","RAS-VET-"&amp;TEXT(ROW()-1,"000"))</f>
        <v/>
      </c>
      <c r="B168" s="8" t="n"/>
      <c r="C168" s="8" t="n"/>
      <c r="D168" s="8" t="n"/>
      <c r="E168" s="8" t="n"/>
      <c r="F168" s="16" t="n"/>
      <c r="G168" s="8" t="n"/>
      <c r="H168" s="17" t="n">
        <v>46232</v>
      </c>
      <c r="I168" s="8" t="n"/>
    </row>
    <row r="169">
      <c r="A169" s="15">
        <f>IF(LEN(B169)=0,"","RAS-VET-"&amp;TEXT(ROW()-1,"000"))</f>
        <v/>
      </c>
      <c r="B169" s="8" t="n"/>
      <c r="C169" s="8" t="n"/>
      <c r="D169" s="8" t="n"/>
      <c r="E169" s="8" t="n"/>
      <c r="F169" s="16" t="n"/>
      <c r="G169" s="8" t="n"/>
      <c r="H169" s="17" t="n">
        <v>46232</v>
      </c>
      <c r="I169" s="8" t="n"/>
    </row>
    <row r="170">
      <c r="A170" s="15">
        <f>IF(LEN(B170)=0,"","RAS-VET-"&amp;TEXT(ROW()-1,"000"))</f>
        <v/>
      </c>
      <c r="B170" s="8" t="n"/>
      <c r="C170" s="8" t="n"/>
      <c r="D170" s="8" t="n"/>
      <c r="E170" s="8" t="n"/>
      <c r="F170" s="16" t="n"/>
      <c r="G170" s="8" t="n"/>
      <c r="H170" s="17" t="n">
        <v>46232</v>
      </c>
      <c r="I170" s="8" t="n"/>
    </row>
    <row r="171">
      <c r="A171" s="15">
        <f>IF(LEN(B171)=0,"","RAS-VET-"&amp;TEXT(ROW()-1,"000"))</f>
        <v/>
      </c>
      <c r="B171" s="8" t="n"/>
      <c r="C171" s="8" t="n"/>
      <c r="D171" s="8" t="n"/>
      <c r="E171" s="8" t="n"/>
      <c r="F171" s="16" t="n"/>
      <c r="G171" s="8" t="n"/>
      <c r="H171" s="17" t="n">
        <v>46232</v>
      </c>
      <c r="I171" s="8" t="n"/>
    </row>
    <row r="172">
      <c r="A172" s="15">
        <f>IF(LEN(B172)=0,"","RAS-VET-"&amp;TEXT(ROW()-1,"000"))</f>
        <v/>
      </c>
      <c r="B172" s="8" t="n"/>
      <c r="C172" s="8" t="n"/>
      <c r="D172" s="8" t="n"/>
      <c r="E172" s="8" t="n"/>
      <c r="F172" s="16" t="n"/>
      <c r="G172" s="8" t="n"/>
      <c r="H172" s="17" t="n">
        <v>46232</v>
      </c>
      <c r="I172" s="8" t="n"/>
    </row>
    <row r="173">
      <c r="A173" s="15">
        <f>IF(LEN(B173)=0,"","RAS-VET-"&amp;TEXT(ROW()-1,"000"))</f>
        <v/>
      </c>
      <c r="B173" s="8" t="n"/>
      <c r="C173" s="8" t="n"/>
      <c r="D173" s="8" t="n"/>
      <c r="E173" s="8" t="n"/>
      <c r="F173" s="16" t="n"/>
      <c r="G173" s="8" t="n"/>
      <c r="H173" s="17" t="n">
        <v>46232</v>
      </c>
      <c r="I173" s="8" t="n"/>
    </row>
    <row r="174">
      <c r="A174" s="15">
        <f>IF(LEN(B174)=0,"","RAS-VET-"&amp;TEXT(ROW()-1,"000"))</f>
        <v/>
      </c>
      <c r="B174" s="8" t="n"/>
      <c r="C174" s="8" t="n"/>
      <c r="D174" s="8" t="n"/>
      <c r="E174" s="8" t="n"/>
      <c r="F174" s="16" t="n"/>
      <c r="G174" s="8" t="n"/>
      <c r="H174" s="17" t="n">
        <v>46232</v>
      </c>
      <c r="I174" s="8" t="n"/>
    </row>
    <row r="175">
      <c r="A175" s="15">
        <f>IF(LEN(B175)=0,"","RAS-VET-"&amp;TEXT(ROW()-1,"000"))</f>
        <v/>
      </c>
      <c r="B175" s="8" t="n"/>
      <c r="C175" s="8" t="n"/>
      <c r="D175" s="8" t="n"/>
      <c r="E175" s="8" t="n"/>
      <c r="F175" s="16" t="n"/>
      <c r="G175" s="8" t="n"/>
      <c r="H175" s="17" t="n">
        <v>46232</v>
      </c>
      <c r="I175" s="8" t="n"/>
    </row>
    <row r="176">
      <c r="A176" s="15">
        <f>IF(LEN(B176)=0,"","RAS-VET-"&amp;TEXT(ROW()-1,"000"))</f>
        <v/>
      </c>
      <c r="B176" s="8" t="n"/>
      <c r="C176" s="8" t="n"/>
      <c r="D176" s="8" t="n"/>
      <c r="E176" s="8" t="n"/>
      <c r="F176" s="16" t="n"/>
      <c r="G176" s="8" t="n"/>
      <c r="H176" s="17" t="n">
        <v>46232</v>
      </c>
      <c r="I176" s="8" t="n"/>
    </row>
    <row r="177">
      <c r="A177" s="15">
        <f>IF(LEN(B177)=0,"","RAS-VET-"&amp;TEXT(ROW()-1,"000"))</f>
        <v/>
      </c>
      <c r="B177" s="8" t="n"/>
      <c r="C177" s="8" t="n"/>
      <c r="D177" s="8" t="n"/>
      <c r="E177" s="8" t="n"/>
      <c r="F177" s="16" t="n"/>
      <c r="G177" s="8" t="n"/>
      <c r="H177" s="17" t="n">
        <v>46232</v>
      </c>
      <c r="I177" s="8" t="n"/>
    </row>
    <row r="178">
      <c r="A178" s="15">
        <f>IF(LEN(B178)=0,"","RAS-VET-"&amp;TEXT(ROW()-1,"000"))</f>
        <v/>
      </c>
      <c r="B178" s="8" t="n"/>
      <c r="C178" s="8" t="n"/>
      <c r="D178" s="8" t="n"/>
      <c r="E178" s="8" t="n"/>
      <c r="F178" s="16" t="n"/>
      <c r="G178" s="8" t="n"/>
      <c r="H178" s="17" t="n">
        <v>46232</v>
      </c>
      <c r="I178" s="8" t="n"/>
    </row>
    <row r="179">
      <c r="A179" s="15">
        <f>IF(LEN(B179)=0,"","RAS-VET-"&amp;TEXT(ROW()-1,"000"))</f>
        <v/>
      </c>
      <c r="B179" s="8" t="n"/>
      <c r="C179" s="8" t="n"/>
      <c r="D179" s="8" t="n"/>
      <c r="E179" s="8" t="n"/>
      <c r="F179" s="16" t="n"/>
      <c r="G179" s="8" t="n"/>
      <c r="H179" s="17" t="n">
        <v>46232</v>
      </c>
      <c r="I179" s="8" t="n"/>
    </row>
    <row r="180">
      <c r="A180" s="15">
        <f>IF(LEN(B180)=0,"","RAS-VET-"&amp;TEXT(ROW()-1,"000"))</f>
        <v/>
      </c>
      <c r="B180" s="8" t="n"/>
      <c r="C180" s="8" t="n"/>
      <c r="D180" s="8" t="n"/>
      <c r="E180" s="8" t="n"/>
      <c r="F180" s="16" t="n"/>
      <c r="G180" s="8" t="n"/>
      <c r="H180" s="17" t="n">
        <v>46232</v>
      </c>
      <c r="I180" s="8" t="n"/>
    </row>
    <row r="181">
      <c r="A181" s="15">
        <f>IF(LEN(B181)=0,"","RAS-VET-"&amp;TEXT(ROW()-1,"000"))</f>
        <v/>
      </c>
      <c r="B181" s="8" t="n"/>
      <c r="C181" s="8" t="n"/>
      <c r="D181" s="8" t="n"/>
      <c r="E181" s="8" t="n"/>
      <c r="F181" s="16" t="n"/>
      <c r="G181" s="8" t="n"/>
      <c r="H181" s="17" t="n">
        <v>46232</v>
      </c>
      <c r="I181" s="8" t="n"/>
    </row>
    <row r="182">
      <c r="A182" s="15">
        <f>IF(LEN(B182)=0,"","RAS-VET-"&amp;TEXT(ROW()-1,"000"))</f>
        <v/>
      </c>
      <c r="B182" s="8" t="n"/>
      <c r="C182" s="8" t="n"/>
      <c r="D182" s="8" t="n"/>
      <c r="E182" s="8" t="n"/>
      <c r="F182" s="16" t="n"/>
      <c r="G182" s="8" t="n"/>
      <c r="H182" s="17" t="n">
        <v>46232</v>
      </c>
      <c r="I182" s="8" t="n"/>
    </row>
    <row r="183">
      <c r="A183" s="15">
        <f>IF(LEN(B183)=0,"","RAS-VET-"&amp;TEXT(ROW()-1,"000"))</f>
        <v/>
      </c>
      <c r="B183" s="8" t="n"/>
      <c r="C183" s="8" t="n"/>
      <c r="D183" s="8" t="n"/>
      <c r="E183" s="8" t="n"/>
      <c r="F183" s="16" t="n"/>
      <c r="G183" s="8" t="n"/>
      <c r="H183" s="17" t="n">
        <v>46232</v>
      </c>
      <c r="I183" s="8" t="n"/>
    </row>
    <row r="184">
      <c r="A184" s="15">
        <f>IF(LEN(B184)=0,"","RAS-VET-"&amp;TEXT(ROW()-1,"000"))</f>
        <v/>
      </c>
      <c r="B184" s="8" t="n"/>
      <c r="C184" s="8" t="n"/>
      <c r="D184" s="8" t="n"/>
      <c r="E184" s="8" t="n"/>
      <c r="F184" s="16" t="n"/>
      <c r="G184" s="8" t="n"/>
      <c r="H184" s="17" t="n">
        <v>46232</v>
      </c>
      <c r="I184" s="8" t="n"/>
    </row>
    <row r="185">
      <c r="A185" s="15">
        <f>IF(LEN(B185)=0,"","RAS-VET-"&amp;TEXT(ROW()-1,"000"))</f>
        <v/>
      </c>
      <c r="B185" s="8" t="n"/>
      <c r="C185" s="8" t="n"/>
      <c r="D185" s="8" t="n"/>
      <c r="E185" s="8" t="n"/>
      <c r="F185" s="16" t="n"/>
      <c r="G185" s="8" t="n"/>
      <c r="H185" s="17" t="n">
        <v>46232</v>
      </c>
      <c r="I185" s="8" t="n"/>
    </row>
    <row r="186">
      <c r="A186" s="15">
        <f>IF(LEN(B186)=0,"","RAS-VET-"&amp;TEXT(ROW()-1,"000"))</f>
        <v/>
      </c>
      <c r="B186" s="8" t="n"/>
      <c r="C186" s="8" t="n"/>
      <c r="D186" s="8" t="n"/>
      <c r="E186" s="8" t="n"/>
      <c r="F186" s="16" t="n"/>
      <c r="G186" s="8" t="n"/>
      <c r="H186" s="17" t="n">
        <v>46232</v>
      </c>
      <c r="I186" s="8" t="n"/>
    </row>
    <row r="187">
      <c r="A187" s="15">
        <f>IF(LEN(B187)=0,"","RAS-VET-"&amp;TEXT(ROW()-1,"000"))</f>
        <v/>
      </c>
      <c r="B187" s="8" t="n"/>
      <c r="C187" s="8" t="n"/>
      <c r="D187" s="8" t="n"/>
      <c r="E187" s="8" t="n"/>
      <c r="F187" s="16" t="n"/>
      <c r="G187" s="8" t="n"/>
      <c r="H187" s="17" t="n">
        <v>46232</v>
      </c>
      <c r="I187" s="8" t="n"/>
    </row>
    <row r="188">
      <c r="A188" s="15">
        <f>IF(LEN(B188)=0,"","RAS-VET-"&amp;TEXT(ROW()-1,"000"))</f>
        <v/>
      </c>
      <c r="B188" s="8" t="n"/>
      <c r="C188" s="8" t="n"/>
      <c r="D188" s="8" t="n"/>
      <c r="E188" s="8" t="n"/>
      <c r="F188" s="16" t="n"/>
      <c r="G188" s="8" t="n"/>
      <c r="H188" s="17" t="n">
        <v>46232</v>
      </c>
      <c r="I188" s="8" t="n"/>
    </row>
    <row r="189">
      <c r="A189" s="15">
        <f>IF(LEN(B189)=0,"","RAS-VET-"&amp;TEXT(ROW()-1,"000"))</f>
        <v/>
      </c>
      <c r="B189" s="8" t="n"/>
      <c r="C189" s="8" t="n"/>
      <c r="D189" s="8" t="n"/>
      <c r="E189" s="8" t="n"/>
      <c r="F189" s="16" t="n"/>
      <c r="G189" s="8" t="n"/>
      <c r="H189" s="17" t="n">
        <v>46232</v>
      </c>
      <c r="I189" s="8" t="n"/>
    </row>
    <row r="190">
      <c r="A190" s="15">
        <f>IF(LEN(B190)=0,"","RAS-VET-"&amp;TEXT(ROW()-1,"000"))</f>
        <v/>
      </c>
      <c r="B190" s="8" t="n"/>
      <c r="C190" s="8" t="n"/>
      <c r="D190" s="8" t="n"/>
      <c r="E190" s="8" t="n"/>
      <c r="F190" s="16" t="n"/>
      <c r="G190" s="8" t="n"/>
      <c r="H190" s="17" t="n">
        <v>46232</v>
      </c>
      <c r="I190" s="8" t="n"/>
    </row>
    <row r="191">
      <c r="A191" s="15">
        <f>IF(LEN(B191)=0,"","RAS-VET-"&amp;TEXT(ROW()-1,"000"))</f>
        <v/>
      </c>
      <c r="B191" s="8" t="n"/>
      <c r="C191" s="8" t="n"/>
      <c r="D191" s="8" t="n"/>
      <c r="E191" s="8" t="n"/>
      <c r="F191" s="16" t="n"/>
      <c r="G191" s="8" t="n"/>
      <c r="H191" s="17" t="n">
        <v>46232</v>
      </c>
      <c r="I191" s="8" t="n"/>
    </row>
    <row r="192">
      <c r="A192" s="15">
        <f>IF(LEN(B192)=0,"","RAS-VET-"&amp;TEXT(ROW()-1,"000"))</f>
        <v/>
      </c>
      <c r="B192" s="8" t="n"/>
      <c r="C192" s="8" t="n"/>
      <c r="D192" s="8" t="n"/>
      <c r="E192" s="8" t="n"/>
      <c r="F192" s="16" t="n"/>
      <c r="G192" s="8" t="n"/>
      <c r="H192" s="17" t="n">
        <v>46232</v>
      </c>
      <c r="I192" s="8" t="n"/>
    </row>
    <row r="193">
      <c r="A193" s="15">
        <f>IF(LEN(B193)=0,"","RAS-VET-"&amp;TEXT(ROW()-1,"000"))</f>
        <v/>
      </c>
      <c r="B193" s="8" t="n"/>
      <c r="C193" s="8" t="n"/>
      <c r="D193" s="8" t="n"/>
      <c r="E193" s="8" t="n"/>
      <c r="F193" s="16" t="n"/>
      <c r="G193" s="8" t="n"/>
      <c r="H193" s="17" t="n">
        <v>46232</v>
      </c>
      <c r="I193" s="8" t="n"/>
    </row>
    <row r="194">
      <c r="A194" s="15">
        <f>IF(LEN(B194)=0,"","RAS-VET-"&amp;TEXT(ROW()-1,"000"))</f>
        <v/>
      </c>
      <c r="B194" s="8" t="n"/>
      <c r="C194" s="8" t="n"/>
      <c r="D194" s="8" t="n"/>
      <c r="E194" s="8" t="n"/>
      <c r="F194" s="16" t="n"/>
      <c r="G194" s="8" t="n"/>
      <c r="H194" s="17" t="n">
        <v>46232</v>
      </c>
      <c r="I194" s="8" t="n"/>
    </row>
    <row r="195">
      <c r="A195" s="15">
        <f>IF(LEN(B195)=0,"","RAS-VET-"&amp;TEXT(ROW()-1,"000"))</f>
        <v/>
      </c>
      <c r="B195" s="8" t="n"/>
      <c r="C195" s="8" t="n"/>
      <c r="D195" s="8" t="n"/>
      <c r="E195" s="8" t="n"/>
      <c r="F195" s="16" t="n"/>
      <c r="G195" s="8" t="n"/>
      <c r="H195" s="17" t="n">
        <v>46232</v>
      </c>
      <c r="I195" s="8" t="n"/>
    </row>
    <row r="196">
      <c r="A196" s="15">
        <f>IF(LEN(B196)=0,"","RAS-VET-"&amp;TEXT(ROW()-1,"000"))</f>
        <v/>
      </c>
      <c r="B196" s="8" t="n"/>
      <c r="C196" s="8" t="n"/>
      <c r="D196" s="8" t="n"/>
      <c r="E196" s="8" t="n"/>
      <c r="F196" s="16" t="n"/>
      <c r="G196" s="8" t="n"/>
      <c r="H196" s="17" t="n">
        <v>46232</v>
      </c>
      <c r="I196" s="8" t="n"/>
    </row>
    <row r="197">
      <c r="A197" s="15">
        <f>IF(LEN(B197)=0,"","RAS-VET-"&amp;TEXT(ROW()-1,"000"))</f>
        <v/>
      </c>
      <c r="B197" s="8" t="n"/>
      <c r="C197" s="8" t="n"/>
      <c r="D197" s="8" t="n"/>
      <c r="E197" s="8" t="n"/>
      <c r="F197" s="16" t="n"/>
      <c r="G197" s="8" t="n"/>
      <c r="H197" s="17" t="n">
        <v>46232</v>
      </c>
      <c r="I197" s="8" t="n"/>
    </row>
    <row r="198">
      <c r="A198" s="15">
        <f>IF(LEN(B198)=0,"","RAS-VET-"&amp;TEXT(ROW()-1,"000"))</f>
        <v/>
      </c>
      <c r="B198" s="8" t="n"/>
      <c r="C198" s="8" t="n"/>
      <c r="D198" s="8" t="n"/>
      <c r="E198" s="8" t="n"/>
      <c r="F198" s="16" t="n"/>
      <c r="G198" s="8" t="n"/>
      <c r="H198" s="17" t="n">
        <v>46232</v>
      </c>
      <c r="I198" s="8" t="n"/>
    </row>
    <row r="199">
      <c r="A199" s="15">
        <f>IF(LEN(B199)=0,"","RAS-VET-"&amp;TEXT(ROW()-1,"000"))</f>
        <v/>
      </c>
      <c r="B199" s="8" t="n"/>
      <c r="C199" s="8" t="n"/>
      <c r="D199" s="8" t="n"/>
      <c r="E199" s="8" t="n"/>
      <c r="F199" s="16" t="n"/>
      <c r="G199" s="8" t="n"/>
      <c r="H199" s="17" t="n">
        <v>46232</v>
      </c>
      <c r="I199" s="8" t="n"/>
    </row>
    <row r="200">
      <c r="A200" s="15">
        <f>IF(LEN(B200)=0,"","RAS-VET-"&amp;TEXT(ROW()-1,"000"))</f>
        <v/>
      </c>
      <c r="B200" s="8" t="n"/>
      <c r="C200" s="8" t="n"/>
      <c r="D200" s="8" t="n"/>
      <c r="E200" s="8" t="n"/>
      <c r="F200" s="16" t="n"/>
      <c r="G200" s="8" t="n"/>
      <c r="H200" s="17" t="n">
        <v>46232</v>
      </c>
      <c r="I200" s="8" t="n"/>
    </row>
    <row r="201">
      <c r="A201" s="15">
        <f>IF(LEN(B201)=0,"","RAS-VET-"&amp;TEXT(ROW()-1,"000"))</f>
        <v/>
      </c>
      <c r="B201" s="8" t="n"/>
      <c r="C201" s="8" t="n"/>
      <c r="D201" s="8" t="n"/>
      <c r="E201" s="8" t="n"/>
      <c r="F201" s="16" t="n"/>
      <c r="G201" s="8" t="n"/>
      <c r="H201" s="17" t="n">
        <v>46232</v>
      </c>
      <c r="I201" s="8" t="n"/>
    </row>
  </sheetData>
  <conditionalFormatting sqref="G2:G201">
    <cfRule type="cellIs" priority="1" operator="equal" dxfId="0">
      <formula>"Aprobado"</formula>
    </cfRule>
    <cfRule type="cellIs" priority="2" operator="equal" dxfId="1">
      <formula>"Enviado Embajada"</formula>
    </cfRule>
    <cfRule type="cellIs" priority="3" operator="equal" dxfId="2">
      <formula>"Pendiente"</formula>
    </cfRule>
  </conditionalFormatting>
  <dataValidations count="3">
    <dataValidation sqref="D2:D201" showDropDown="0" showInputMessage="0" showErrorMessage="0" allowBlank="1" type="list">
      <formula1>Listas_Catalogos!$K$2:$K$11</formula1>
    </dataValidation>
    <dataValidation sqref="E2:E201" showDropDown="0" showInputMessage="0" showErrorMessage="0" allowBlank="1" type="list">
      <formula1>Listas_Catalogos!$A$2:$A$3</formula1>
    </dataValidation>
    <dataValidation sqref="G2:G201" showDropDown="0" showInputMessage="0" showErrorMessage="0" allowBlank="1" type="list">
      <formula1>Listas_Catalogos!$B$2:$B$4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R20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  <col width="34" customWidth="1" min="12" max="12"/>
    <col width="34" customWidth="1" min="13" max="13"/>
    <col width="34" customWidth="1" min="14" max="14"/>
    <col width="34" customWidth="1" min="15" max="15"/>
    <col width="34" customWidth="1" min="16" max="16"/>
    <col width="34" customWidth="1" min="17" max="17"/>
    <col width="34" customWidth="1" min="18" max="18"/>
    <col width="34" customWidth="1" min="19" max="19"/>
    <col width="34" customWidth="1" min="20" max="20"/>
    <col width="34" customWidth="1" min="21" max="21"/>
    <col width="34" customWidth="1" min="22" max="22"/>
    <col width="34" customWidth="1" min="23" max="23"/>
    <col width="34" customWidth="1" min="24" max="24"/>
    <col width="34" customWidth="1" min="25" max="25"/>
    <col width="34" customWidth="1" min="26" max="26"/>
    <col width="34" customWidth="1" min="27" max="27"/>
    <col width="34" customWidth="1" min="28" max="28"/>
    <col width="34" customWidth="1" min="29" max="29"/>
    <col width="34" customWidth="1" min="30" max="30"/>
    <col width="34" customWidth="1" min="31" max="31"/>
    <col width="34" customWidth="1" min="32" max="32"/>
    <col width="34" customWidth="1" min="33" max="33"/>
    <col width="34" customWidth="1" min="34" max="34"/>
    <col width="34" customWidth="1" min="35" max="35"/>
    <col width="34" customWidth="1" min="36" max="36"/>
    <col width="34" customWidth="1" min="37" max="37"/>
    <col width="34" customWidth="1" min="38" max="38"/>
    <col width="34" customWidth="1" min="39" max="39"/>
    <col width="34" customWidth="1" min="40" max="40"/>
    <col width="34" customWidth="1" min="41" max="41"/>
    <col width="34" customWidth="1" min="42" max="42"/>
    <col width="34" customWidth="1" min="43" max="43"/>
    <col width="34" customWidth="1" min="44" max="44"/>
    <col width="34" customWidth="1" min="45" max="45"/>
    <col width="34" customWidth="1" min="46" max="46"/>
    <col width="34" customWidth="1" min="47" max="47"/>
    <col width="34" customWidth="1" min="48" max="48"/>
    <col width="34" customWidth="1" min="49" max="49"/>
    <col width="34" customWidth="1" min="50" max="50"/>
    <col width="34" customWidth="1" min="51" max="51"/>
    <col width="34" customWidth="1" min="52" max="52"/>
    <col width="34" customWidth="1" min="53" max="53"/>
    <col width="34" customWidth="1" min="54" max="54"/>
    <col width="34" customWidth="1" min="55" max="55"/>
    <col width="34" customWidth="1" min="56" max="56"/>
    <col width="34" customWidth="1" min="57" max="57"/>
    <col width="34" customWidth="1" min="58" max="58"/>
    <col width="34" customWidth="1" min="59" max="59"/>
    <col width="34" customWidth="1" min="60" max="60"/>
    <col width="34" customWidth="1" min="61" max="61"/>
    <col width="34" customWidth="1" min="62" max="62"/>
    <col width="34" customWidth="1" min="63" max="63"/>
    <col width="34" customWidth="1" min="64" max="64"/>
    <col width="34" customWidth="1" min="65" max="65"/>
    <col width="34" customWidth="1" min="66" max="66"/>
    <col width="34" customWidth="1" min="67" max="67"/>
    <col width="34" customWidth="1" min="68" max="68"/>
    <col width="34" customWidth="1" min="69" max="69"/>
    <col width="34" customWidth="1" min="70" max="70"/>
  </cols>
  <sheetData>
    <row r="1" ht="32" customHeight="1">
      <c r="A1" s="18" t="inlineStr">
        <is>
          <t>CONTROL DE REGISTRO</t>
        </is>
      </c>
      <c r="D1" s="19" t="inlineStr">
        <is>
          <t>Sección I. Información general (Perfil)</t>
        </is>
      </c>
      <c r="P1" s="20" t="inlineStr">
        <is>
          <t>Sección II. Detección e identificación de estafas en línea</t>
        </is>
      </c>
      <c r="Z1" s="19" t="inlineStr">
        <is>
          <t>Sección III. Vinculación con trata de personas (TIP), explotación y otros</t>
        </is>
      </c>
      <c r="AK1" s="20" t="inlineStr">
        <is>
          <t>Sección IV. Marco Legal</t>
        </is>
      </c>
      <c r="AQ1" s="19" t="inlineStr">
        <is>
          <t>Sección V. Recolección de pruebas e investigación (Evidencia digital)</t>
        </is>
      </c>
      <c r="AY1" s="20" t="inlineStr">
        <is>
          <t>Sección VI. Protección y reparación de víctimas y sobrevivientes</t>
        </is>
      </c>
      <c r="BH1" s="19" t="inlineStr">
        <is>
          <t>Sección VII. Capacitación y recursos</t>
        </is>
      </c>
      <c r="BL1" s="20" t="inlineStr">
        <is>
          <t>Sección VIII. Cooperación interinstitucional y enfoque regional</t>
        </is>
      </c>
    </row>
    <row r="2" ht="72" customHeight="1">
      <c r="A2" s="21" t="inlineStr">
        <is>
          <t>Marca_temporal</t>
        </is>
      </c>
      <c r="B2" s="21" t="inlineStr">
        <is>
          <t>ID_Respuesta</t>
        </is>
      </c>
      <c r="C2" s="21" t="inlineStr">
        <is>
          <t>Estatus_Validacion</t>
        </is>
      </c>
      <c r="D2" s="21" t="inlineStr">
        <is>
          <t>P01. Correo electrónico institucional</t>
        </is>
      </c>
      <c r="E2" s="21" t="inlineStr">
        <is>
          <t>P02. Sexo</t>
        </is>
      </c>
      <c r="F2" s="21" t="inlineStr">
        <is>
          <t>P03. Edad</t>
        </is>
      </c>
      <c r="G2" s="21" t="inlineStr">
        <is>
          <t>P04. Perfil principal (Jefatura o supervisión / Operativo)</t>
        </is>
      </c>
      <c r="H2" s="21" t="inlineStr">
        <is>
          <t>P05. Institución a la que pertenece</t>
        </is>
      </c>
      <c r="I2" s="21" t="inlineStr">
        <is>
          <t>P06. Su rol se relaciona con</t>
        </is>
      </c>
      <c r="J2" s="21" t="inlineStr">
        <is>
          <t>P07. Rol en Seguridad Pública o Fiscalía</t>
        </is>
      </c>
      <c r="K2" s="21" t="inlineStr">
        <is>
          <t>P08. Unidad a la que pertenece</t>
        </is>
      </c>
      <c r="L2" s="21" t="inlineStr">
        <is>
          <t>P09. Antigüedad en el cargo</t>
        </is>
      </c>
      <c r="M2" s="21" t="inlineStr">
        <is>
          <t>P10. Años de experiencia en casos de estafas en línea</t>
        </is>
      </c>
      <c r="N2" s="21" t="inlineStr">
        <is>
          <t>P11. Años de experiencia en casos de trata de personas</t>
        </is>
      </c>
      <c r="O2" s="21" t="inlineStr">
        <is>
          <t>P12. Nivel de participación en los últimos 24 meses</t>
        </is>
      </c>
      <c r="P2" s="21" t="inlineStr">
        <is>
          <t>P13. Ha sido involucrado en carpeta de investigación por estafas en línea</t>
        </is>
      </c>
      <c r="Q2" s="21" t="inlineStr">
        <is>
          <t>P14. Descripción de en qué consistió la estafa</t>
        </is>
      </c>
      <c r="R2" s="21" t="inlineStr">
        <is>
          <t>P15. Perfil de las víctimas de estafas en línea</t>
        </is>
      </c>
      <c r="S2" s="21" t="inlineStr">
        <is>
          <t>P16. Qué se prometió principalmente a las víctimas</t>
        </is>
      </c>
      <c r="T2" s="21" t="inlineStr">
        <is>
          <t>P17. Perfil de las personas victimarias</t>
        </is>
      </c>
      <c r="U2" s="21" t="inlineStr">
        <is>
          <t>P18. Nacionalidad de quienes ejecutan las estafas</t>
        </is>
      </c>
      <c r="V2" s="21" t="inlineStr">
        <is>
          <t>P19. Señales o indicadores que activan la sospecha de trata</t>
        </is>
      </c>
      <c r="W2" s="21" t="inlineStr">
        <is>
          <t>P20. Identificación de call centers, bunkers o inmuebles dedicados al fraude</t>
        </is>
      </c>
      <c r="X2" s="21" t="inlineStr">
        <is>
          <t>P21. Identificación del uso de inteligencia artificial</t>
        </is>
      </c>
      <c r="Y2" s="21" t="inlineStr">
        <is>
          <t>P22. Casos que involucren criptomonedas o billeteras digitales</t>
        </is>
      </c>
      <c r="Z2" s="21" t="inlineStr">
        <is>
          <t>P23. Casos en que se OBLIGUE a realizar trabajo o actividad en línea</t>
        </is>
      </c>
      <c r="AA2" s="21" t="inlineStr">
        <is>
          <t>P24. Casos en que se ENGAÑE para realizar trabajo o actividad en línea</t>
        </is>
      </c>
      <c r="AB2" s="21" t="inlineStr">
        <is>
          <t>P25. Actividades más frecuentes exigidas a la víctima</t>
        </is>
      </c>
      <c r="AC2" s="21" t="inlineStr">
        <is>
          <t>P26. Tipificación del delito conforme al CNPP</t>
        </is>
      </c>
      <c r="AD2" s="21" t="inlineStr">
        <is>
          <t>P27. Casos de trata de personas para cometer estafas en línea</t>
        </is>
      </c>
      <c r="AE2" s="21" t="inlineStr">
        <is>
          <t>P28. Modus operandi identificado</t>
        </is>
      </c>
      <c r="AF2" s="21" t="inlineStr">
        <is>
          <t>P29. Perfil de las víctimas de trata</t>
        </is>
      </c>
      <c r="AG2" s="21" t="inlineStr">
        <is>
          <t>P30. Forma de captación de las víctimas</t>
        </is>
      </c>
      <c r="AH2" s="21" t="inlineStr">
        <is>
          <t>P31. Traslado o facilitación de movilidad</t>
        </is>
      </c>
      <c r="AI2" s="21" t="inlineStr">
        <is>
          <t>P32. Quién costeó el traslado o alojamiento inicial</t>
        </is>
      </c>
      <c r="AJ2" s="21" t="inlineStr">
        <is>
          <t>P33. Señales de estafa cometida contra la voluntad de la persona</t>
        </is>
      </c>
      <c r="AK2" s="21" t="inlineStr">
        <is>
          <t>P34. Medida en que el marco legal facilita o dificulta la investigación</t>
        </is>
      </c>
      <c r="AL2" s="21" t="inlineStr">
        <is>
          <t>P35. Claridad sobre los mecanismos de coordinación institucional</t>
        </is>
      </c>
      <c r="AM2" s="21" t="inlineStr">
        <is>
          <t>P36. Nivel de participación de laboratorios forenses digitales o peritos</t>
        </is>
      </c>
      <c r="AN2" s="21" t="inlineStr">
        <is>
          <t>P37. Conocimiento de unidad de enlace o fuerza de tarea conjunta TIP–Ciber</t>
        </is>
      </c>
      <c r="AO2" s="21" t="inlineStr">
        <is>
          <t>P38. Necesidad de reformas legales</t>
        </is>
      </c>
      <c r="AP2" s="21" t="inlineStr">
        <is>
          <t>P39. Áreas de reforma legal consideradas necesarias</t>
        </is>
      </c>
      <c r="AQ2" s="21" t="inlineStr">
        <is>
          <t>P40. Medios de prueba determinantes</t>
        </is>
      </c>
      <c r="AR2" s="21" t="inlineStr">
        <is>
          <t>P41. Dificultades durante allanamientos</t>
        </is>
      </c>
      <c r="AS2" s="21" t="inlineStr">
        <is>
          <t>P42. Aplicaciones de mensajería que obstaculizan la interceptación</t>
        </is>
      </c>
      <c r="AT2" s="21" t="inlineStr">
        <is>
          <t>P43. Procedimiento para preservar comunicaciones en mensajería cifrada</t>
        </is>
      </c>
      <c r="AU2" s="21" t="inlineStr">
        <is>
          <t>P44. Explicación del procedimiento e institución que lo generó</t>
        </is>
      </c>
      <c r="AV2" s="21" t="inlineStr">
        <is>
          <t>P45. Vinculación de "facilitadores profesionales"</t>
        </is>
      </c>
      <c r="AW2" s="21" t="inlineStr">
        <is>
          <t>P46. Barreras técnicas o logísticas para obtener pruebas</t>
        </is>
      </c>
      <c r="AX2" s="21" t="inlineStr">
        <is>
          <t>P47. Propuestas para mejorar la cadena de custodia digital</t>
        </is>
      </c>
      <c r="AY2" s="21" t="inlineStr">
        <is>
          <t>P48. Aplicación de protocolos de atención integral</t>
        </is>
      </c>
      <c r="AZ2" s="21" t="inlineStr">
        <is>
          <t>P49. Frecuencia de uso de medidas de protección</t>
        </is>
      </c>
      <c r="BA2" s="21" t="inlineStr">
        <is>
          <t>P50. Frecuencia de uso de prueba anticipada</t>
        </is>
      </c>
      <c r="BB2" s="21" t="inlineStr">
        <is>
          <t>P51. Víctimas obligadas o engañadas como beneficiarias de protección</t>
        </is>
      </c>
      <c r="BC2" s="21" t="inlineStr">
        <is>
          <t>P52. Dificultad para garantizar la no criminalización</t>
        </is>
      </c>
      <c r="BD2" s="21" t="inlineStr">
        <is>
          <t>P53. Artículo, ley o vacío legal que constituye el principal obstáculo</t>
        </is>
      </c>
      <c r="BE2" s="21" t="inlineStr">
        <is>
          <t>P54. Trato inicial que recibe quien ejecuta la estafa en línea</t>
        </is>
      </c>
      <c r="BF2" s="21" t="inlineStr">
        <is>
          <t>P55. Barreras para aplicar tempranamente la no criminalización</t>
        </is>
      </c>
      <c r="BG2" s="21" t="inlineStr">
        <is>
          <t>P56. Obstáculos para la reparación y restitución de derechos</t>
        </is>
      </c>
      <c r="BH2" s="21" t="inlineStr">
        <is>
          <t>P57. Ha recibido capacitación sobre investigación de estafas en línea</t>
        </is>
      </c>
      <c r="BI2" s="21" t="inlineStr">
        <is>
          <t>P58. Ha recibido capacitación sobre investigación de trata de personas</t>
        </is>
      </c>
      <c r="BJ2" s="21" t="inlineStr">
        <is>
          <t>P59. Temas de capacitación considerados prioritarios</t>
        </is>
      </c>
      <c r="BK2" s="21" t="inlineStr">
        <is>
          <t>P60. Recursos necesarios para mejorar la respuesta institucional</t>
        </is>
      </c>
      <c r="BL2" s="21" t="inlineStr">
        <is>
          <t>P61. Evaluación de los mecanismos de cooperación internacional</t>
        </is>
      </c>
      <c r="BM2" s="21" t="inlineStr">
        <is>
          <t>P62. Mecanismos de cooperación que utilizaría</t>
        </is>
      </c>
      <c r="BN2" s="21" t="inlineStr">
        <is>
          <t>P63. Actores con los que resulta más urgente coordinar</t>
        </is>
      </c>
      <c r="BO2" s="21" t="inlineStr">
        <is>
          <t>P64. Principal obstáculo al solicitar información a proveedores extranjeros</t>
        </is>
      </c>
      <c r="BP2" s="21" t="inlineStr">
        <is>
          <t>P65. Información o mecanismos requeridos del sector privado</t>
        </is>
      </c>
      <c r="BQ2" s="21" t="inlineStr">
        <is>
          <t>P66. Otras barreras institucionales, normativas o de coordinación</t>
        </is>
      </c>
      <c r="BR2" s="21" t="inlineStr">
        <is>
          <t>P67. Conocimiento de alguna sentencia de trata vinculada a estafas en línea</t>
        </is>
      </c>
    </row>
    <row r="3">
      <c r="A3" s="22" t="n"/>
      <c r="B3" s="23">
        <f>IF(LEN(A3)=0,"","RAS-DIA-"&amp;TEXT(ROW()-2,"000"))</f>
        <v/>
      </c>
    </row>
    <row r="4">
      <c r="A4" s="22" t="n"/>
      <c r="B4" s="23">
        <f>IF(LEN(A4)=0,"","RAS-DIA-"&amp;TEXT(ROW()-2,"000"))</f>
        <v/>
      </c>
    </row>
    <row r="5">
      <c r="A5" s="22" t="n"/>
      <c r="B5" s="23">
        <f>IF(LEN(A5)=0,"","RAS-DIA-"&amp;TEXT(ROW()-2,"000"))</f>
        <v/>
      </c>
    </row>
    <row r="6">
      <c r="A6" s="22" t="n"/>
      <c r="B6" s="23">
        <f>IF(LEN(A6)=0,"","RAS-DIA-"&amp;TEXT(ROW()-2,"000"))</f>
        <v/>
      </c>
    </row>
    <row r="7">
      <c r="A7" s="22" t="n"/>
      <c r="B7" s="23">
        <f>IF(LEN(A7)=0,"","RAS-DIA-"&amp;TEXT(ROW()-2,"000"))</f>
        <v/>
      </c>
    </row>
    <row r="8">
      <c r="A8" s="22" t="n"/>
      <c r="B8" s="23">
        <f>IF(LEN(A8)=0,"","RAS-DIA-"&amp;TEXT(ROW()-2,"000"))</f>
        <v/>
      </c>
    </row>
    <row r="9">
      <c r="A9" s="22" t="n"/>
      <c r="B9" s="23">
        <f>IF(LEN(A9)=0,"","RAS-DIA-"&amp;TEXT(ROW()-2,"000"))</f>
        <v/>
      </c>
    </row>
    <row r="10">
      <c r="A10" s="22" t="n"/>
      <c r="B10" s="23">
        <f>IF(LEN(A10)=0,"","RAS-DIA-"&amp;TEXT(ROW()-2,"000"))</f>
        <v/>
      </c>
    </row>
    <row r="11">
      <c r="A11" s="22" t="n"/>
      <c r="B11" s="23">
        <f>IF(LEN(A11)=0,"","RAS-DIA-"&amp;TEXT(ROW()-2,"000"))</f>
        <v/>
      </c>
    </row>
    <row r="12">
      <c r="A12" s="22" t="n"/>
      <c r="B12" s="23">
        <f>IF(LEN(A12)=0,"","RAS-DIA-"&amp;TEXT(ROW()-2,"000"))</f>
        <v/>
      </c>
    </row>
    <row r="13">
      <c r="A13" s="22" t="n"/>
      <c r="B13" s="23">
        <f>IF(LEN(A13)=0,"","RAS-DIA-"&amp;TEXT(ROW()-2,"000"))</f>
        <v/>
      </c>
    </row>
    <row r="14">
      <c r="A14" s="22" t="n"/>
      <c r="B14" s="23">
        <f>IF(LEN(A14)=0,"","RAS-DIA-"&amp;TEXT(ROW()-2,"000"))</f>
        <v/>
      </c>
    </row>
    <row r="15">
      <c r="A15" s="22" t="n"/>
      <c r="B15" s="23">
        <f>IF(LEN(A15)=0,"","RAS-DIA-"&amp;TEXT(ROW()-2,"000"))</f>
        <v/>
      </c>
    </row>
    <row r="16">
      <c r="A16" s="22" t="n"/>
      <c r="B16" s="23">
        <f>IF(LEN(A16)=0,"","RAS-DIA-"&amp;TEXT(ROW()-2,"000"))</f>
        <v/>
      </c>
    </row>
    <row r="17">
      <c r="A17" s="22" t="n"/>
      <c r="B17" s="23">
        <f>IF(LEN(A17)=0,"","RAS-DIA-"&amp;TEXT(ROW()-2,"000"))</f>
        <v/>
      </c>
    </row>
    <row r="18">
      <c r="A18" s="22" t="n"/>
      <c r="B18" s="23">
        <f>IF(LEN(A18)=0,"","RAS-DIA-"&amp;TEXT(ROW()-2,"000"))</f>
        <v/>
      </c>
    </row>
    <row r="19">
      <c r="A19" s="22" t="n"/>
      <c r="B19" s="23">
        <f>IF(LEN(A19)=0,"","RAS-DIA-"&amp;TEXT(ROW()-2,"000"))</f>
        <v/>
      </c>
    </row>
    <row r="20">
      <c r="A20" s="22" t="n"/>
      <c r="B20" s="23">
        <f>IF(LEN(A20)=0,"","RAS-DIA-"&amp;TEXT(ROW()-2,"000"))</f>
        <v/>
      </c>
    </row>
    <row r="21">
      <c r="A21" s="22" t="n"/>
      <c r="B21" s="23">
        <f>IF(LEN(A21)=0,"","RAS-DIA-"&amp;TEXT(ROW()-2,"000"))</f>
        <v/>
      </c>
    </row>
    <row r="22">
      <c r="A22" s="22" t="n"/>
      <c r="B22" s="23">
        <f>IF(LEN(A22)=0,"","RAS-DIA-"&amp;TEXT(ROW()-2,"000"))</f>
        <v/>
      </c>
    </row>
    <row r="23">
      <c r="A23" s="22" t="n"/>
      <c r="B23" s="23">
        <f>IF(LEN(A23)=0,"","RAS-DIA-"&amp;TEXT(ROW()-2,"000"))</f>
        <v/>
      </c>
    </row>
    <row r="24">
      <c r="A24" s="22" t="n"/>
      <c r="B24" s="23">
        <f>IF(LEN(A24)=0,"","RAS-DIA-"&amp;TEXT(ROW()-2,"000"))</f>
        <v/>
      </c>
    </row>
    <row r="25">
      <c r="A25" s="22" t="n"/>
      <c r="B25" s="23">
        <f>IF(LEN(A25)=0,"","RAS-DIA-"&amp;TEXT(ROW()-2,"000"))</f>
        <v/>
      </c>
    </row>
    <row r="26">
      <c r="A26" s="22" t="n"/>
      <c r="B26" s="23">
        <f>IF(LEN(A26)=0,"","RAS-DIA-"&amp;TEXT(ROW()-2,"000"))</f>
        <v/>
      </c>
    </row>
    <row r="27">
      <c r="A27" s="22" t="n"/>
      <c r="B27" s="23">
        <f>IF(LEN(A27)=0,"","RAS-DIA-"&amp;TEXT(ROW()-2,"000"))</f>
        <v/>
      </c>
    </row>
    <row r="28">
      <c r="A28" s="22" t="n"/>
      <c r="B28" s="23">
        <f>IF(LEN(A28)=0,"","RAS-DIA-"&amp;TEXT(ROW()-2,"000"))</f>
        <v/>
      </c>
    </row>
    <row r="29">
      <c r="A29" s="22" t="n"/>
      <c r="B29" s="23">
        <f>IF(LEN(A29)=0,"","RAS-DIA-"&amp;TEXT(ROW()-2,"000"))</f>
        <v/>
      </c>
    </row>
    <row r="30">
      <c r="A30" s="22" t="n"/>
      <c r="B30" s="23">
        <f>IF(LEN(A30)=0,"","RAS-DIA-"&amp;TEXT(ROW()-2,"000"))</f>
        <v/>
      </c>
    </row>
    <row r="31">
      <c r="A31" s="22" t="n"/>
      <c r="B31" s="23">
        <f>IF(LEN(A31)=0,"","RAS-DIA-"&amp;TEXT(ROW()-2,"000"))</f>
        <v/>
      </c>
    </row>
    <row r="32">
      <c r="A32" s="22" t="n"/>
      <c r="B32" s="23">
        <f>IF(LEN(A32)=0,"","RAS-DIA-"&amp;TEXT(ROW()-2,"000"))</f>
        <v/>
      </c>
    </row>
    <row r="33">
      <c r="A33" s="22" t="n"/>
      <c r="B33" s="23">
        <f>IF(LEN(A33)=0,"","RAS-DIA-"&amp;TEXT(ROW()-2,"000"))</f>
        <v/>
      </c>
    </row>
    <row r="34">
      <c r="A34" s="22" t="n"/>
      <c r="B34" s="23">
        <f>IF(LEN(A34)=0,"","RAS-DIA-"&amp;TEXT(ROW()-2,"000"))</f>
        <v/>
      </c>
    </row>
    <row r="35">
      <c r="A35" s="22" t="n"/>
      <c r="B35" s="23">
        <f>IF(LEN(A35)=0,"","RAS-DIA-"&amp;TEXT(ROW()-2,"000"))</f>
        <v/>
      </c>
    </row>
    <row r="36">
      <c r="A36" s="22" t="n"/>
      <c r="B36" s="23">
        <f>IF(LEN(A36)=0,"","RAS-DIA-"&amp;TEXT(ROW()-2,"000"))</f>
        <v/>
      </c>
    </row>
    <row r="37">
      <c r="A37" s="22" t="n"/>
      <c r="B37" s="23">
        <f>IF(LEN(A37)=0,"","RAS-DIA-"&amp;TEXT(ROW()-2,"000"))</f>
        <v/>
      </c>
    </row>
    <row r="38">
      <c r="A38" s="22" t="n"/>
      <c r="B38" s="23">
        <f>IF(LEN(A38)=0,"","RAS-DIA-"&amp;TEXT(ROW()-2,"000"))</f>
        <v/>
      </c>
    </row>
    <row r="39">
      <c r="A39" s="22" t="n"/>
      <c r="B39" s="23">
        <f>IF(LEN(A39)=0,"","RAS-DIA-"&amp;TEXT(ROW()-2,"000"))</f>
        <v/>
      </c>
    </row>
    <row r="40">
      <c r="A40" s="22" t="n"/>
      <c r="B40" s="23">
        <f>IF(LEN(A40)=0,"","RAS-DIA-"&amp;TEXT(ROW()-2,"000"))</f>
        <v/>
      </c>
    </row>
    <row r="41">
      <c r="A41" s="22" t="n"/>
      <c r="B41" s="23">
        <f>IF(LEN(A41)=0,"","RAS-DIA-"&amp;TEXT(ROW()-2,"000"))</f>
        <v/>
      </c>
    </row>
    <row r="42">
      <c r="A42" s="22" t="n"/>
      <c r="B42" s="23">
        <f>IF(LEN(A42)=0,"","RAS-DIA-"&amp;TEXT(ROW()-2,"000"))</f>
        <v/>
      </c>
    </row>
    <row r="43">
      <c r="A43" s="22" t="n"/>
      <c r="B43" s="23">
        <f>IF(LEN(A43)=0,"","RAS-DIA-"&amp;TEXT(ROW()-2,"000"))</f>
        <v/>
      </c>
    </row>
    <row r="44">
      <c r="A44" s="22" t="n"/>
      <c r="B44" s="23">
        <f>IF(LEN(A44)=0,"","RAS-DIA-"&amp;TEXT(ROW()-2,"000"))</f>
        <v/>
      </c>
    </row>
    <row r="45">
      <c r="A45" s="22" t="n"/>
      <c r="B45" s="23">
        <f>IF(LEN(A45)=0,"","RAS-DIA-"&amp;TEXT(ROW()-2,"000"))</f>
        <v/>
      </c>
    </row>
    <row r="46">
      <c r="A46" s="22" t="n"/>
      <c r="B46" s="23">
        <f>IF(LEN(A46)=0,"","RAS-DIA-"&amp;TEXT(ROW()-2,"000"))</f>
        <v/>
      </c>
    </row>
    <row r="47">
      <c r="A47" s="22" t="n"/>
      <c r="B47" s="23">
        <f>IF(LEN(A47)=0,"","RAS-DIA-"&amp;TEXT(ROW()-2,"000"))</f>
        <v/>
      </c>
    </row>
    <row r="48">
      <c r="A48" s="22" t="n"/>
      <c r="B48" s="23">
        <f>IF(LEN(A48)=0,"","RAS-DIA-"&amp;TEXT(ROW()-2,"000"))</f>
        <v/>
      </c>
    </row>
    <row r="49">
      <c r="A49" s="22" t="n"/>
      <c r="B49" s="23">
        <f>IF(LEN(A49)=0,"","RAS-DIA-"&amp;TEXT(ROW()-2,"000"))</f>
        <v/>
      </c>
    </row>
    <row r="50">
      <c r="A50" s="22" t="n"/>
      <c r="B50" s="23">
        <f>IF(LEN(A50)=0,"","RAS-DIA-"&amp;TEXT(ROW()-2,"000"))</f>
        <v/>
      </c>
    </row>
    <row r="51">
      <c r="A51" s="22" t="n"/>
      <c r="B51" s="23">
        <f>IF(LEN(A51)=0,"","RAS-DIA-"&amp;TEXT(ROW()-2,"000"))</f>
        <v/>
      </c>
    </row>
    <row r="52">
      <c r="A52" s="22" t="n"/>
      <c r="B52" s="23">
        <f>IF(LEN(A52)=0,"","RAS-DIA-"&amp;TEXT(ROW()-2,"000"))</f>
        <v/>
      </c>
    </row>
    <row r="53">
      <c r="A53" s="22" t="n"/>
      <c r="B53" s="23">
        <f>IF(LEN(A53)=0,"","RAS-DIA-"&amp;TEXT(ROW()-2,"000"))</f>
        <v/>
      </c>
    </row>
    <row r="54">
      <c r="A54" s="22" t="n"/>
      <c r="B54" s="23">
        <f>IF(LEN(A54)=0,"","RAS-DIA-"&amp;TEXT(ROW()-2,"000"))</f>
        <v/>
      </c>
    </row>
    <row r="55">
      <c r="A55" s="22" t="n"/>
      <c r="B55" s="23">
        <f>IF(LEN(A55)=0,"","RAS-DIA-"&amp;TEXT(ROW()-2,"000"))</f>
        <v/>
      </c>
    </row>
    <row r="56">
      <c r="A56" s="22" t="n"/>
      <c r="B56" s="23">
        <f>IF(LEN(A56)=0,"","RAS-DIA-"&amp;TEXT(ROW()-2,"000"))</f>
        <v/>
      </c>
    </row>
    <row r="57">
      <c r="A57" s="22" t="n"/>
      <c r="B57" s="23">
        <f>IF(LEN(A57)=0,"","RAS-DIA-"&amp;TEXT(ROW()-2,"000"))</f>
        <v/>
      </c>
    </row>
    <row r="58">
      <c r="A58" s="22" t="n"/>
      <c r="B58" s="23">
        <f>IF(LEN(A58)=0,"","RAS-DIA-"&amp;TEXT(ROW()-2,"000"))</f>
        <v/>
      </c>
    </row>
    <row r="59">
      <c r="A59" s="22" t="n"/>
      <c r="B59" s="23">
        <f>IF(LEN(A59)=0,"","RAS-DIA-"&amp;TEXT(ROW()-2,"000"))</f>
        <v/>
      </c>
    </row>
    <row r="60">
      <c r="A60" s="22" t="n"/>
      <c r="B60" s="23">
        <f>IF(LEN(A60)=0,"","RAS-DIA-"&amp;TEXT(ROW()-2,"000"))</f>
        <v/>
      </c>
    </row>
    <row r="61">
      <c r="A61" s="22" t="n"/>
      <c r="B61" s="23">
        <f>IF(LEN(A61)=0,"","RAS-DIA-"&amp;TEXT(ROW()-2,"000"))</f>
        <v/>
      </c>
    </row>
    <row r="62">
      <c r="A62" s="22" t="n"/>
      <c r="B62" s="23">
        <f>IF(LEN(A62)=0,"","RAS-DIA-"&amp;TEXT(ROW()-2,"000"))</f>
        <v/>
      </c>
    </row>
    <row r="63">
      <c r="A63" s="22" t="n"/>
      <c r="B63" s="23">
        <f>IF(LEN(A63)=0,"","RAS-DIA-"&amp;TEXT(ROW()-2,"000"))</f>
        <v/>
      </c>
    </row>
    <row r="64">
      <c r="A64" s="22" t="n"/>
      <c r="B64" s="23">
        <f>IF(LEN(A64)=0,"","RAS-DIA-"&amp;TEXT(ROW()-2,"000"))</f>
        <v/>
      </c>
    </row>
    <row r="65">
      <c r="A65" s="22" t="n"/>
      <c r="B65" s="23">
        <f>IF(LEN(A65)=0,"","RAS-DIA-"&amp;TEXT(ROW()-2,"000"))</f>
        <v/>
      </c>
    </row>
    <row r="66">
      <c r="A66" s="22" t="n"/>
      <c r="B66" s="23">
        <f>IF(LEN(A66)=0,"","RAS-DIA-"&amp;TEXT(ROW()-2,"000"))</f>
        <v/>
      </c>
    </row>
    <row r="67">
      <c r="A67" s="22" t="n"/>
      <c r="B67" s="23">
        <f>IF(LEN(A67)=0,"","RAS-DIA-"&amp;TEXT(ROW()-2,"000"))</f>
        <v/>
      </c>
    </row>
    <row r="68">
      <c r="A68" s="22" t="n"/>
      <c r="B68" s="23">
        <f>IF(LEN(A68)=0,"","RAS-DIA-"&amp;TEXT(ROW()-2,"000"))</f>
        <v/>
      </c>
    </row>
    <row r="69">
      <c r="A69" s="22" t="n"/>
      <c r="B69" s="23">
        <f>IF(LEN(A69)=0,"","RAS-DIA-"&amp;TEXT(ROW()-2,"000"))</f>
        <v/>
      </c>
    </row>
    <row r="70">
      <c r="A70" s="22" t="n"/>
      <c r="B70" s="23">
        <f>IF(LEN(A70)=0,"","RAS-DIA-"&amp;TEXT(ROW()-2,"000"))</f>
        <v/>
      </c>
    </row>
    <row r="71">
      <c r="A71" s="22" t="n"/>
      <c r="B71" s="23">
        <f>IF(LEN(A71)=0,"","RAS-DIA-"&amp;TEXT(ROW()-2,"000"))</f>
        <v/>
      </c>
    </row>
    <row r="72">
      <c r="A72" s="22" t="n"/>
      <c r="B72" s="23">
        <f>IF(LEN(A72)=0,"","RAS-DIA-"&amp;TEXT(ROW()-2,"000"))</f>
        <v/>
      </c>
    </row>
    <row r="73">
      <c r="A73" s="22" t="n"/>
      <c r="B73" s="23">
        <f>IF(LEN(A73)=0,"","RAS-DIA-"&amp;TEXT(ROW()-2,"000"))</f>
        <v/>
      </c>
    </row>
    <row r="74">
      <c r="A74" s="22" t="n"/>
      <c r="B74" s="23">
        <f>IF(LEN(A74)=0,"","RAS-DIA-"&amp;TEXT(ROW()-2,"000"))</f>
        <v/>
      </c>
    </row>
    <row r="75">
      <c r="A75" s="22" t="n"/>
      <c r="B75" s="23">
        <f>IF(LEN(A75)=0,"","RAS-DIA-"&amp;TEXT(ROW()-2,"000"))</f>
        <v/>
      </c>
    </row>
    <row r="76">
      <c r="A76" s="22" t="n"/>
      <c r="B76" s="23">
        <f>IF(LEN(A76)=0,"","RAS-DIA-"&amp;TEXT(ROW()-2,"000"))</f>
        <v/>
      </c>
    </row>
    <row r="77">
      <c r="A77" s="22" t="n"/>
      <c r="B77" s="23">
        <f>IF(LEN(A77)=0,"","RAS-DIA-"&amp;TEXT(ROW()-2,"000"))</f>
        <v/>
      </c>
    </row>
    <row r="78">
      <c r="A78" s="22" t="n"/>
      <c r="B78" s="23">
        <f>IF(LEN(A78)=0,"","RAS-DIA-"&amp;TEXT(ROW()-2,"000"))</f>
        <v/>
      </c>
    </row>
    <row r="79">
      <c r="A79" s="22" t="n"/>
      <c r="B79" s="23">
        <f>IF(LEN(A79)=0,"","RAS-DIA-"&amp;TEXT(ROW()-2,"000"))</f>
        <v/>
      </c>
    </row>
    <row r="80">
      <c r="A80" s="22" t="n"/>
      <c r="B80" s="23">
        <f>IF(LEN(A80)=0,"","RAS-DIA-"&amp;TEXT(ROW()-2,"000"))</f>
        <v/>
      </c>
    </row>
    <row r="81">
      <c r="A81" s="22" t="n"/>
      <c r="B81" s="23">
        <f>IF(LEN(A81)=0,"","RAS-DIA-"&amp;TEXT(ROW()-2,"000"))</f>
        <v/>
      </c>
    </row>
    <row r="82">
      <c r="A82" s="22" t="n"/>
      <c r="B82" s="23">
        <f>IF(LEN(A82)=0,"","RAS-DIA-"&amp;TEXT(ROW()-2,"000"))</f>
        <v/>
      </c>
    </row>
    <row r="83">
      <c r="A83" s="22" t="n"/>
      <c r="B83" s="23">
        <f>IF(LEN(A83)=0,"","RAS-DIA-"&amp;TEXT(ROW()-2,"000"))</f>
        <v/>
      </c>
    </row>
    <row r="84">
      <c r="A84" s="22" t="n"/>
      <c r="B84" s="23">
        <f>IF(LEN(A84)=0,"","RAS-DIA-"&amp;TEXT(ROW()-2,"000"))</f>
        <v/>
      </c>
    </row>
    <row r="85">
      <c r="A85" s="22" t="n"/>
      <c r="B85" s="23">
        <f>IF(LEN(A85)=0,"","RAS-DIA-"&amp;TEXT(ROW()-2,"000"))</f>
        <v/>
      </c>
    </row>
    <row r="86">
      <c r="A86" s="22" t="n"/>
      <c r="B86" s="23">
        <f>IF(LEN(A86)=0,"","RAS-DIA-"&amp;TEXT(ROW()-2,"000"))</f>
        <v/>
      </c>
    </row>
    <row r="87">
      <c r="A87" s="22" t="n"/>
      <c r="B87" s="23">
        <f>IF(LEN(A87)=0,"","RAS-DIA-"&amp;TEXT(ROW()-2,"000"))</f>
        <v/>
      </c>
    </row>
    <row r="88">
      <c r="A88" s="22" t="n"/>
      <c r="B88" s="23">
        <f>IF(LEN(A88)=0,"","RAS-DIA-"&amp;TEXT(ROW()-2,"000"))</f>
        <v/>
      </c>
    </row>
    <row r="89">
      <c r="A89" s="22" t="n"/>
      <c r="B89" s="23">
        <f>IF(LEN(A89)=0,"","RAS-DIA-"&amp;TEXT(ROW()-2,"000"))</f>
        <v/>
      </c>
    </row>
    <row r="90">
      <c r="A90" s="22" t="n"/>
      <c r="B90" s="23">
        <f>IF(LEN(A90)=0,"","RAS-DIA-"&amp;TEXT(ROW()-2,"000"))</f>
        <v/>
      </c>
    </row>
    <row r="91">
      <c r="A91" s="22" t="n"/>
      <c r="B91" s="23">
        <f>IF(LEN(A91)=0,"","RAS-DIA-"&amp;TEXT(ROW()-2,"000"))</f>
        <v/>
      </c>
    </row>
    <row r="92">
      <c r="A92" s="22" t="n"/>
      <c r="B92" s="23">
        <f>IF(LEN(A92)=0,"","RAS-DIA-"&amp;TEXT(ROW()-2,"000"))</f>
        <v/>
      </c>
    </row>
    <row r="93">
      <c r="A93" s="22" t="n"/>
      <c r="B93" s="23">
        <f>IF(LEN(A93)=0,"","RAS-DIA-"&amp;TEXT(ROW()-2,"000"))</f>
        <v/>
      </c>
    </row>
    <row r="94">
      <c r="A94" s="22" t="n"/>
      <c r="B94" s="23">
        <f>IF(LEN(A94)=0,"","RAS-DIA-"&amp;TEXT(ROW()-2,"000"))</f>
        <v/>
      </c>
    </row>
    <row r="95">
      <c r="A95" s="22" t="n"/>
      <c r="B95" s="23">
        <f>IF(LEN(A95)=0,"","RAS-DIA-"&amp;TEXT(ROW()-2,"000"))</f>
        <v/>
      </c>
    </row>
    <row r="96">
      <c r="A96" s="22" t="n"/>
      <c r="B96" s="23">
        <f>IF(LEN(A96)=0,"","RAS-DIA-"&amp;TEXT(ROW()-2,"000"))</f>
        <v/>
      </c>
    </row>
    <row r="97">
      <c r="A97" s="22" t="n"/>
      <c r="B97" s="23">
        <f>IF(LEN(A97)=0,"","RAS-DIA-"&amp;TEXT(ROW()-2,"000"))</f>
        <v/>
      </c>
    </row>
    <row r="98">
      <c r="A98" s="22" t="n"/>
      <c r="B98" s="23">
        <f>IF(LEN(A98)=0,"","RAS-DIA-"&amp;TEXT(ROW()-2,"000"))</f>
        <v/>
      </c>
    </row>
    <row r="99">
      <c r="A99" s="22" t="n"/>
      <c r="B99" s="23">
        <f>IF(LEN(A99)=0,"","RAS-DIA-"&amp;TEXT(ROW()-2,"000"))</f>
        <v/>
      </c>
    </row>
    <row r="100">
      <c r="A100" s="22" t="n"/>
      <c r="B100" s="23">
        <f>IF(LEN(A100)=0,"","RAS-DIA-"&amp;TEXT(ROW()-2,"000"))</f>
        <v/>
      </c>
    </row>
    <row r="101">
      <c r="A101" s="22" t="n"/>
      <c r="B101" s="23">
        <f>IF(LEN(A101)=0,"","RAS-DIA-"&amp;TEXT(ROW()-2,"000"))</f>
        <v/>
      </c>
    </row>
    <row r="102">
      <c r="A102" s="22" t="n"/>
      <c r="B102" s="23">
        <f>IF(LEN(A102)=0,"","RAS-DIA-"&amp;TEXT(ROW()-2,"000"))</f>
        <v/>
      </c>
    </row>
    <row r="103">
      <c r="A103" s="22" t="n"/>
      <c r="B103" s="23">
        <f>IF(LEN(A103)=0,"","RAS-DIA-"&amp;TEXT(ROW()-2,"000"))</f>
        <v/>
      </c>
    </row>
    <row r="104">
      <c r="A104" s="22" t="n"/>
      <c r="B104" s="23">
        <f>IF(LEN(A104)=0,"","RAS-DIA-"&amp;TEXT(ROW()-2,"000"))</f>
        <v/>
      </c>
    </row>
    <row r="105">
      <c r="A105" s="22" t="n"/>
      <c r="B105" s="23">
        <f>IF(LEN(A105)=0,"","RAS-DIA-"&amp;TEXT(ROW()-2,"000"))</f>
        <v/>
      </c>
    </row>
    <row r="106">
      <c r="A106" s="22" t="n"/>
      <c r="B106" s="23">
        <f>IF(LEN(A106)=0,"","RAS-DIA-"&amp;TEXT(ROW()-2,"000"))</f>
        <v/>
      </c>
    </row>
    <row r="107">
      <c r="A107" s="22" t="n"/>
      <c r="B107" s="23">
        <f>IF(LEN(A107)=0,"","RAS-DIA-"&amp;TEXT(ROW()-2,"000"))</f>
        <v/>
      </c>
    </row>
    <row r="108">
      <c r="A108" s="22" t="n"/>
      <c r="B108" s="23">
        <f>IF(LEN(A108)=0,"","RAS-DIA-"&amp;TEXT(ROW()-2,"000"))</f>
        <v/>
      </c>
    </row>
    <row r="109">
      <c r="A109" s="22" t="n"/>
      <c r="B109" s="23">
        <f>IF(LEN(A109)=0,"","RAS-DIA-"&amp;TEXT(ROW()-2,"000"))</f>
        <v/>
      </c>
    </row>
    <row r="110">
      <c r="A110" s="22" t="n"/>
      <c r="B110" s="23">
        <f>IF(LEN(A110)=0,"","RAS-DIA-"&amp;TEXT(ROW()-2,"000"))</f>
        <v/>
      </c>
    </row>
    <row r="111">
      <c r="A111" s="22" t="n"/>
      <c r="B111" s="23">
        <f>IF(LEN(A111)=0,"","RAS-DIA-"&amp;TEXT(ROW()-2,"000"))</f>
        <v/>
      </c>
    </row>
    <row r="112">
      <c r="A112" s="22" t="n"/>
      <c r="B112" s="23">
        <f>IF(LEN(A112)=0,"","RAS-DIA-"&amp;TEXT(ROW()-2,"000"))</f>
        <v/>
      </c>
    </row>
    <row r="113">
      <c r="A113" s="22" t="n"/>
      <c r="B113" s="23">
        <f>IF(LEN(A113)=0,"","RAS-DIA-"&amp;TEXT(ROW()-2,"000"))</f>
        <v/>
      </c>
    </row>
    <row r="114">
      <c r="A114" s="22" t="n"/>
      <c r="B114" s="23">
        <f>IF(LEN(A114)=0,"","RAS-DIA-"&amp;TEXT(ROW()-2,"000"))</f>
        <v/>
      </c>
    </row>
    <row r="115">
      <c r="A115" s="22" t="n"/>
      <c r="B115" s="23">
        <f>IF(LEN(A115)=0,"","RAS-DIA-"&amp;TEXT(ROW()-2,"000"))</f>
        <v/>
      </c>
    </row>
    <row r="116">
      <c r="A116" s="22" t="n"/>
      <c r="B116" s="23">
        <f>IF(LEN(A116)=0,"","RAS-DIA-"&amp;TEXT(ROW()-2,"000"))</f>
        <v/>
      </c>
    </row>
    <row r="117">
      <c r="A117" s="22" t="n"/>
      <c r="B117" s="23">
        <f>IF(LEN(A117)=0,"","RAS-DIA-"&amp;TEXT(ROW()-2,"000"))</f>
        <v/>
      </c>
    </row>
    <row r="118">
      <c r="A118" s="22" t="n"/>
      <c r="B118" s="23">
        <f>IF(LEN(A118)=0,"","RAS-DIA-"&amp;TEXT(ROW()-2,"000"))</f>
        <v/>
      </c>
    </row>
    <row r="119">
      <c r="A119" s="22" t="n"/>
      <c r="B119" s="23">
        <f>IF(LEN(A119)=0,"","RAS-DIA-"&amp;TEXT(ROW()-2,"000"))</f>
        <v/>
      </c>
    </row>
    <row r="120">
      <c r="A120" s="22" t="n"/>
      <c r="B120" s="23">
        <f>IF(LEN(A120)=0,"","RAS-DIA-"&amp;TEXT(ROW()-2,"000"))</f>
        <v/>
      </c>
    </row>
    <row r="121">
      <c r="A121" s="22" t="n"/>
      <c r="B121" s="23">
        <f>IF(LEN(A121)=0,"","RAS-DIA-"&amp;TEXT(ROW()-2,"000"))</f>
        <v/>
      </c>
    </row>
    <row r="122">
      <c r="A122" s="22" t="n"/>
      <c r="B122" s="23">
        <f>IF(LEN(A122)=0,"","RAS-DIA-"&amp;TEXT(ROW()-2,"000"))</f>
        <v/>
      </c>
    </row>
    <row r="123">
      <c r="A123" s="22" t="n"/>
      <c r="B123" s="23">
        <f>IF(LEN(A123)=0,"","RAS-DIA-"&amp;TEXT(ROW()-2,"000"))</f>
        <v/>
      </c>
    </row>
    <row r="124">
      <c r="A124" s="22" t="n"/>
      <c r="B124" s="23">
        <f>IF(LEN(A124)=0,"","RAS-DIA-"&amp;TEXT(ROW()-2,"000"))</f>
        <v/>
      </c>
    </row>
    <row r="125">
      <c r="A125" s="22" t="n"/>
      <c r="B125" s="23">
        <f>IF(LEN(A125)=0,"","RAS-DIA-"&amp;TEXT(ROW()-2,"000"))</f>
        <v/>
      </c>
    </row>
    <row r="126">
      <c r="A126" s="22" t="n"/>
      <c r="B126" s="23">
        <f>IF(LEN(A126)=0,"","RAS-DIA-"&amp;TEXT(ROW()-2,"000"))</f>
        <v/>
      </c>
    </row>
    <row r="127">
      <c r="A127" s="22" t="n"/>
      <c r="B127" s="23">
        <f>IF(LEN(A127)=0,"","RAS-DIA-"&amp;TEXT(ROW()-2,"000"))</f>
        <v/>
      </c>
    </row>
    <row r="128">
      <c r="A128" s="22" t="n"/>
      <c r="B128" s="23">
        <f>IF(LEN(A128)=0,"","RAS-DIA-"&amp;TEXT(ROW()-2,"000"))</f>
        <v/>
      </c>
    </row>
    <row r="129">
      <c r="A129" s="22" t="n"/>
      <c r="B129" s="23">
        <f>IF(LEN(A129)=0,"","RAS-DIA-"&amp;TEXT(ROW()-2,"000"))</f>
        <v/>
      </c>
    </row>
    <row r="130">
      <c r="A130" s="22" t="n"/>
      <c r="B130" s="23">
        <f>IF(LEN(A130)=0,"","RAS-DIA-"&amp;TEXT(ROW()-2,"000"))</f>
        <v/>
      </c>
    </row>
    <row r="131">
      <c r="A131" s="22" t="n"/>
      <c r="B131" s="23">
        <f>IF(LEN(A131)=0,"","RAS-DIA-"&amp;TEXT(ROW()-2,"000"))</f>
        <v/>
      </c>
    </row>
    <row r="132">
      <c r="A132" s="22" t="n"/>
      <c r="B132" s="23">
        <f>IF(LEN(A132)=0,"","RAS-DIA-"&amp;TEXT(ROW()-2,"000"))</f>
        <v/>
      </c>
    </row>
    <row r="133">
      <c r="A133" s="22" t="n"/>
      <c r="B133" s="23">
        <f>IF(LEN(A133)=0,"","RAS-DIA-"&amp;TEXT(ROW()-2,"000"))</f>
        <v/>
      </c>
    </row>
    <row r="134">
      <c r="A134" s="22" t="n"/>
      <c r="B134" s="23">
        <f>IF(LEN(A134)=0,"","RAS-DIA-"&amp;TEXT(ROW()-2,"000"))</f>
        <v/>
      </c>
    </row>
    <row r="135">
      <c r="A135" s="22" t="n"/>
      <c r="B135" s="23">
        <f>IF(LEN(A135)=0,"","RAS-DIA-"&amp;TEXT(ROW()-2,"000"))</f>
        <v/>
      </c>
    </row>
    <row r="136">
      <c r="A136" s="22" t="n"/>
      <c r="B136" s="23">
        <f>IF(LEN(A136)=0,"","RAS-DIA-"&amp;TEXT(ROW()-2,"000"))</f>
        <v/>
      </c>
    </row>
    <row r="137">
      <c r="A137" s="22" t="n"/>
      <c r="B137" s="23">
        <f>IF(LEN(A137)=0,"","RAS-DIA-"&amp;TEXT(ROW()-2,"000"))</f>
        <v/>
      </c>
    </row>
    <row r="138">
      <c r="A138" s="22" t="n"/>
      <c r="B138" s="23">
        <f>IF(LEN(A138)=0,"","RAS-DIA-"&amp;TEXT(ROW()-2,"000"))</f>
        <v/>
      </c>
    </row>
    <row r="139">
      <c r="A139" s="22" t="n"/>
      <c r="B139" s="23">
        <f>IF(LEN(A139)=0,"","RAS-DIA-"&amp;TEXT(ROW()-2,"000"))</f>
        <v/>
      </c>
    </row>
    <row r="140">
      <c r="A140" s="22" t="n"/>
      <c r="B140" s="23">
        <f>IF(LEN(A140)=0,"","RAS-DIA-"&amp;TEXT(ROW()-2,"000"))</f>
        <v/>
      </c>
    </row>
    <row r="141">
      <c r="A141" s="22" t="n"/>
      <c r="B141" s="23">
        <f>IF(LEN(A141)=0,"","RAS-DIA-"&amp;TEXT(ROW()-2,"000"))</f>
        <v/>
      </c>
    </row>
    <row r="142">
      <c r="A142" s="22" t="n"/>
      <c r="B142" s="23">
        <f>IF(LEN(A142)=0,"","RAS-DIA-"&amp;TEXT(ROW()-2,"000"))</f>
        <v/>
      </c>
    </row>
    <row r="143">
      <c r="A143" s="22" t="n"/>
      <c r="B143" s="23">
        <f>IF(LEN(A143)=0,"","RAS-DIA-"&amp;TEXT(ROW()-2,"000"))</f>
        <v/>
      </c>
    </row>
    <row r="144">
      <c r="A144" s="22" t="n"/>
      <c r="B144" s="23">
        <f>IF(LEN(A144)=0,"","RAS-DIA-"&amp;TEXT(ROW()-2,"000"))</f>
        <v/>
      </c>
    </row>
    <row r="145">
      <c r="A145" s="22" t="n"/>
      <c r="B145" s="23">
        <f>IF(LEN(A145)=0,"","RAS-DIA-"&amp;TEXT(ROW()-2,"000"))</f>
        <v/>
      </c>
    </row>
    <row r="146">
      <c r="A146" s="22" t="n"/>
      <c r="B146" s="23">
        <f>IF(LEN(A146)=0,"","RAS-DIA-"&amp;TEXT(ROW()-2,"000"))</f>
        <v/>
      </c>
    </row>
    <row r="147">
      <c r="A147" s="22" t="n"/>
      <c r="B147" s="23">
        <f>IF(LEN(A147)=0,"","RAS-DIA-"&amp;TEXT(ROW()-2,"000"))</f>
        <v/>
      </c>
    </row>
    <row r="148">
      <c r="A148" s="22" t="n"/>
      <c r="B148" s="23">
        <f>IF(LEN(A148)=0,"","RAS-DIA-"&amp;TEXT(ROW()-2,"000"))</f>
        <v/>
      </c>
    </row>
    <row r="149">
      <c r="A149" s="22" t="n"/>
      <c r="B149" s="23">
        <f>IF(LEN(A149)=0,"","RAS-DIA-"&amp;TEXT(ROW()-2,"000"))</f>
        <v/>
      </c>
    </row>
    <row r="150">
      <c r="A150" s="22" t="n"/>
      <c r="B150" s="23">
        <f>IF(LEN(A150)=0,"","RAS-DIA-"&amp;TEXT(ROW()-2,"000"))</f>
        <v/>
      </c>
    </row>
    <row r="151">
      <c r="A151" s="22" t="n"/>
      <c r="B151" s="23">
        <f>IF(LEN(A151)=0,"","RAS-DIA-"&amp;TEXT(ROW()-2,"000"))</f>
        <v/>
      </c>
    </row>
    <row r="152">
      <c r="A152" s="22" t="n"/>
      <c r="B152" s="23">
        <f>IF(LEN(A152)=0,"","RAS-DIA-"&amp;TEXT(ROW()-2,"000"))</f>
        <v/>
      </c>
    </row>
    <row r="153">
      <c r="A153" s="22" t="n"/>
      <c r="B153" s="23">
        <f>IF(LEN(A153)=0,"","RAS-DIA-"&amp;TEXT(ROW()-2,"000"))</f>
        <v/>
      </c>
    </row>
    <row r="154">
      <c r="A154" s="22" t="n"/>
      <c r="B154" s="23">
        <f>IF(LEN(A154)=0,"","RAS-DIA-"&amp;TEXT(ROW()-2,"000"))</f>
        <v/>
      </c>
    </row>
    <row r="155">
      <c r="A155" s="22" t="n"/>
      <c r="B155" s="23">
        <f>IF(LEN(A155)=0,"","RAS-DIA-"&amp;TEXT(ROW()-2,"000"))</f>
        <v/>
      </c>
    </row>
    <row r="156">
      <c r="A156" s="22" t="n"/>
      <c r="B156" s="23">
        <f>IF(LEN(A156)=0,"","RAS-DIA-"&amp;TEXT(ROW()-2,"000"))</f>
        <v/>
      </c>
    </row>
    <row r="157">
      <c r="A157" s="22" t="n"/>
      <c r="B157" s="23">
        <f>IF(LEN(A157)=0,"","RAS-DIA-"&amp;TEXT(ROW()-2,"000"))</f>
        <v/>
      </c>
    </row>
    <row r="158">
      <c r="A158" s="22" t="n"/>
      <c r="B158" s="23">
        <f>IF(LEN(A158)=0,"","RAS-DIA-"&amp;TEXT(ROW()-2,"000"))</f>
        <v/>
      </c>
    </row>
    <row r="159">
      <c r="A159" s="22" t="n"/>
      <c r="B159" s="23">
        <f>IF(LEN(A159)=0,"","RAS-DIA-"&amp;TEXT(ROW()-2,"000"))</f>
        <v/>
      </c>
    </row>
    <row r="160">
      <c r="A160" s="22" t="n"/>
      <c r="B160" s="23">
        <f>IF(LEN(A160)=0,"","RAS-DIA-"&amp;TEXT(ROW()-2,"000"))</f>
        <v/>
      </c>
    </row>
    <row r="161">
      <c r="A161" s="22" t="n"/>
      <c r="B161" s="23">
        <f>IF(LEN(A161)=0,"","RAS-DIA-"&amp;TEXT(ROW()-2,"000"))</f>
        <v/>
      </c>
    </row>
    <row r="162">
      <c r="A162" s="22" t="n"/>
      <c r="B162" s="23">
        <f>IF(LEN(A162)=0,"","RAS-DIA-"&amp;TEXT(ROW()-2,"000"))</f>
        <v/>
      </c>
    </row>
    <row r="163">
      <c r="A163" s="22" t="n"/>
      <c r="B163" s="23">
        <f>IF(LEN(A163)=0,"","RAS-DIA-"&amp;TEXT(ROW()-2,"000"))</f>
        <v/>
      </c>
    </row>
    <row r="164">
      <c r="A164" s="22" t="n"/>
      <c r="B164" s="23">
        <f>IF(LEN(A164)=0,"","RAS-DIA-"&amp;TEXT(ROW()-2,"000"))</f>
        <v/>
      </c>
    </row>
    <row r="165">
      <c r="A165" s="22" t="n"/>
      <c r="B165" s="23">
        <f>IF(LEN(A165)=0,"","RAS-DIA-"&amp;TEXT(ROW()-2,"000"))</f>
        <v/>
      </c>
    </row>
    <row r="166">
      <c r="A166" s="22" t="n"/>
      <c r="B166" s="23">
        <f>IF(LEN(A166)=0,"","RAS-DIA-"&amp;TEXT(ROW()-2,"000"))</f>
        <v/>
      </c>
    </row>
    <row r="167">
      <c r="A167" s="22" t="n"/>
      <c r="B167" s="23">
        <f>IF(LEN(A167)=0,"","RAS-DIA-"&amp;TEXT(ROW()-2,"000"))</f>
        <v/>
      </c>
    </row>
    <row r="168">
      <c r="A168" s="22" t="n"/>
      <c r="B168" s="23">
        <f>IF(LEN(A168)=0,"","RAS-DIA-"&amp;TEXT(ROW()-2,"000"))</f>
        <v/>
      </c>
    </row>
    <row r="169">
      <c r="A169" s="22" t="n"/>
      <c r="B169" s="23">
        <f>IF(LEN(A169)=0,"","RAS-DIA-"&amp;TEXT(ROW()-2,"000"))</f>
        <v/>
      </c>
    </row>
    <row r="170">
      <c r="A170" s="22" t="n"/>
      <c r="B170" s="23">
        <f>IF(LEN(A170)=0,"","RAS-DIA-"&amp;TEXT(ROW()-2,"000"))</f>
        <v/>
      </c>
    </row>
    <row r="171">
      <c r="A171" s="22" t="n"/>
      <c r="B171" s="23">
        <f>IF(LEN(A171)=0,"","RAS-DIA-"&amp;TEXT(ROW()-2,"000"))</f>
        <v/>
      </c>
    </row>
    <row r="172">
      <c r="A172" s="22" t="n"/>
      <c r="B172" s="23">
        <f>IF(LEN(A172)=0,"","RAS-DIA-"&amp;TEXT(ROW()-2,"000"))</f>
        <v/>
      </c>
    </row>
    <row r="173">
      <c r="A173" s="22" t="n"/>
      <c r="B173" s="23">
        <f>IF(LEN(A173)=0,"","RAS-DIA-"&amp;TEXT(ROW()-2,"000"))</f>
        <v/>
      </c>
    </row>
    <row r="174">
      <c r="A174" s="22" t="n"/>
      <c r="B174" s="23">
        <f>IF(LEN(A174)=0,"","RAS-DIA-"&amp;TEXT(ROW()-2,"000"))</f>
        <v/>
      </c>
    </row>
    <row r="175">
      <c r="A175" s="22" t="n"/>
      <c r="B175" s="23">
        <f>IF(LEN(A175)=0,"","RAS-DIA-"&amp;TEXT(ROW()-2,"000"))</f>
        <v/>
      </c>
    </row>
    <row r="176">
      <c r="A176" s="22" t="n"/>
      <c r="B176" s="23">
        <f>IF(LEN(A176)=0,"","RAS-DIA-"&amp;TEXT(ROW()-2,"000"))</f>
        <v/>
      </c>
    </row>
    <row r="177">
      <c r="A177" s="22" t="n"/>
      <c r="B177" s="23">
        <f>IF(LEN(A177)=0,"","RAS-DIA-"&amp;TEXT(ROW()-2,"000"))</f>
        <v/>
      </c>
    </row>
    <row r="178">
      <c r="A178" s="22" t="n"/>
      <c r="B178" s="23">
        <f>IF(LEN(A178)=0,"","RAS-DIA-"&amp;TEXT(ROW()-2,"000"))</f>
        <v/>
      </c>
    </row>
    <row r="179">
      <c r="A179" s="22" t="n"/>
      <c r="B179" s="23">
        <f>IF(LEN(A179)=0,"","RAS-DIA-"&amp;TEXT(ROW()-2,"000"))</f>
        <v/>
      </c>
    </row>
    <row r="180">
      <c r="A180" s="22" t="n"/>
      <c r="B180" s="23">
        <f>IF(LEN(A180)=0,"","RAS-DIA-"&amp;TEXT(ROW()-2,"000"))</f>
        <v/>
      </c>
    </row>
    <row r="181">
      <c r="A181" s="22" t="n"/>
      <c r="B181" s="23">
        <f>IF(LEN(A181)=0,"","RAS-DIA-"&amp;TEXT(ROW()-2,"000"))</f>
        <v/>
      </c>
    </row>
    <row r="182">
      <c r="A182" s="22" t="n"/>
      <c r="B182" s="23">
        <f>IF(LEN(A182)=0,"","RAS-DIA-"&amp;TEXT(ROW()-2,"000"))</f>
        <v/>
      </c>
    </row>
    <row r="183">
      <c r="A183" s="22" t="n"/>
      <c r="B183" s="23">
        <f>IF(LEN(A183)=0,"","RAS-DIA-"&amp;TEXT(ROW()-2,"000"))</f>
        <v/>
      </c>
    </row>
    <row r="184">
      <c r="A184" s="22" t="n"/>
      <c r="B184" s="23">
        <f>IF(LEN(A184)=0,"","RAS-DIA-"&amp;TEXT(ROW()-2,"000"))</f>
        <v/>
      </c>
    </row>
    <row r="185">
      <c r="A185" s="22" t="n"/>
      <c r="B185" s="23">
        <f>IF(LEN(A185)=0,"","RAS-DIA-"&amp;TEXT(ROW()-2,"000"))</f>
        <v/>
      </c>
    </row>
    <row r="186">
      <c r="A186" s="22" t="n"/>
      <c r="B186" s="23">
        <f>IF(LEN(A186)=0,"","RAS-DIA-"&amp;TEXT(ROW()-2,"000"))</f>
        <v/>
      </c>
    </row>
    <row r="187">
      <c r="A187" s="22" t="n"/>
      <c r="B187" s="23">
        <f>IF(LEN(A187)=0,"","RAS-DIA-"&amp;TEXT(ROW()-2,"000"))</f>
        <v/>
      </c>
    </row>
    <row r="188">
      <c r="A188" s="22" t="n"/>
      <c r="B188" s="23">
        <f>IF(LEN(A188)=0,"","RAS-DIA-"&amp;TEXT(ROW()-2,"000"))</f>
        <v/>
      </c>
    </row>
    <row r="189">
      <c r="A189" s="22" t="n"/>
      <c r="B189" s="23">
        <f>IF(LEN(A189)=0,"","RAS-DIA-"&amp;TEXT(ROW()-2,"000"))</f>
        <v/>
      </c>
    </row>
    <row r="190">
      <c r="A190" s="22" t="n"/>
      <c r="B190" s="23">
        <f>IF(LEN(A190)=0,"","RAS-DIA-"&amp;TEXT(ROW()-2,"000"))</f>
        <v/>
      </c>
    </row>
    <row r="191">
      <c r="A191" s="22" t="n"/>
      <c r="B191" s="23">
        <f>IF(LEN(A191)=0,"","RAS-DIA-"&amp;TEXT(ROW()-2,"000"))</f>
        <v/>
      </c>
    </row>
    <row r="192">
      <c r="A192" s="22" t="n"/>
      <c r="B192" s="23">
        <f>IF(LEN(A192)=0,"","RAS-DIA-"&amp;TEXT(ROW()-2,"000"))</f>
        <v/>
      </c>
    </row>
    <row r="193">
      <c r="A193" s="22" t="n"/>
      <c r="B193" s="23">
        <f>IF(LEN(A193)=0,"","RAS-DIA-"&amp;TEXT(ROW()-2,"000"))</f>
        <v/>
      </c>
    </row>
    <row r="194">
      <c r="A194" s="22" t="n"/>
      <c r="B194" s="23">
        <f>IF(LEN(A194)=0,"","RAS-DIA-"&amp;TEXT(ROW()-2,"000"))</f>
        <v/>
      </c>
    </row>
    <row r="195">
      <c r="A195" s="22" t="n"/>
      <c r="B195" s="23">
        <f>IF(LEN(A195)=0,"","RAS-DIA-"&amp;TEXT(ROW()-2,"000"))</f>
        <v/>
      </c>
    </row>
    <row r="196">
      <c r="A196" s="22" t="n"/>
      <c r="B196" s="23">
        <f>IF(LEN(A196)=0,"","RAS-DIA-"&amp;TEXT(ROW()-2,"000"))</f>
        <v/>
      </c>
    </row>
    <row r="197">
      <c r="A197" s="22" t="n"/>
      <c r="B197" s="23">
        <f>IF(LEN(A197)=0,"","RAS-DIA-"&amp;TEXT(ROW()-2,"000"))</f>
        <v/>
      </c>
    </row>
    <row r="198">
      <c r="A198" s="22" t="n"/>
      <c r="B198" s="23">
        <f>IF(LEN(A198)=0,"","RAS-DIA-"&amp;TEXT(ROW()-2,"000"))</f>
        <v/>
      </c>
    </row>
    <row r="199">
      <c r="A199" s="22" t="n"/>
      <c r="B199" s="23">
        <f>IF(LEN(A199)=0,"","RAS-DIA-"&amp;TEXT(ROW()-2,"000"))</f>
        <v/>
      </c>
    </row>
    <row r="200">
      <c r="A200" s="22" t="n"/>
      <c r="B200" s="23">
        <f>IF(LEN(A200)=0,"","RAS-DIA-"&amp;TEXT(ROW()-2,"000"))</f>
        <v/>
      </c>
    </row>
    <row r="201">
      <c r="A201" s="22" t="n"/>
      <c r="B201" s="23">
        <f>IF(LEN(A201)=0,"","RAS-DIA-"&amp;TEXT(ROW()-2,"000"))</f>
        <v/>
      </c>
    </row>
    <row r="202">
      <c r="A202" s="22" t="n"/>
      <c r="B202" s="23">
        <f>IF(LEN(A202)=0,"","RAS-DIA-"&amp;TEXT(ROW()-2,"000"))</f>
        <v/>
      </c>
    </row>
  </sheetData>
  <mergeCells count="9">
    <mergeCell ref="BH1:BK1"/>
    <mergeCell ref="BL1:BR1"/>
    <mergeCell ref="D1:O1"/>
    <mergeCell ref="A1:C1"/>
    <mergeCell ref="AK1:AP1"/>
    <mergeCell ref="Z1:AJ1"/>
    <mergeCell ref="AY1:BG1"/>
    <mergeCell ref="AQ1:AX1"/>
    <mergeCell ref="P1:Y1"/>
  </mergeCells>
  <dataValidations count="1">
    <dataValidation sqref="C3:C202" showDropDown="0" showInputMessage="0" showErrorMessage="0" allowBlank="1" type="list">
      <formula1>Listas_Catalogos!$E$2:$E$5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34" customWidth="1" min="4" max="4"/>
    <col width="20" customWidth="1" min="5" max="5"/>
    <col width="20" customWidth="1" min="6" max="6"/>
    <col width="52" customWidth="1" min="7" max="7"/>
    <col width="32" customWidth="1" min="8" max="8"/>
  </cols>
  <sheetData>
    <row r="1" ht="42" customHeight="1">
      <c r="A1" s="4" t="inlineStr">
        <is>
          <t>ID_Evento</t>
        </is>
      </c>
      <c r="B1" s="4" t="inlineStr">
        <is>
          <t>Tipo</t>
        </is>
      </c>
      <c r="C1" s="4" t="inlineStr">
        <is>
          <t>Fecha</t>
        </is>
      </c>
      <c r="D1" s="4" t="inlineStr">
        <is>
          <t>Sede_Externa</t>
        </is>
      </c>
      <c r="E1" s="4" t="inlineStr">
        <is>
          <t>Estatus_Catering</t>
        </is>
      </c>
      <c r="F1" s="4" t="inlineStr">
        <is>
          <t>Asistentes_Confirmados</t>
        </is>
      </c>
      <c r="G1" s="4" t="inlineStr">
        <is>
          <t>Acuerdos_Principales</t>
        </is>
      </c>
      <c r="H1" s="4" t="inlineStr">
        <is>
          <t>Link_Minuta_PDF</t>
        </is>
      </c>
    </row>
    <row r="2">
      <c r="A2" s="8">
        <f>IF(LEN(B2)=0,"","RAS-EVT-"&amp;TEXT(ROW()-1,"00"))</f>
        <v/>
      </c>
      <c r="B2" s="8" t="inlineStr">
        <is>
          <t>Mesa de Trabajo</t>
        </is>
      </c>
      <c r="C2" s="17" t="n">
        <v>46260</v>
      </c>
      <c r="D2" s="8" t="inlineStr">
        <is>
          <t>Por definir — sede externa UNODC</t>
        </is>
      </c>
      <c r="E2" s="8" t="inlineStr">
        <is>
          <t>Solicitado a UNODC</t>
        </is>
      </c>
      <c r="F2" s="24" t="n"/>
      <c r="G2" s="8" t="inlineStr">
        <is>
          <t>Presentación del proyecto a personal clave con nivel de mando o comunicación con operativos.</t>
        </is>
      </c>
      <c r="H2" s="8" t="n"/>
    </row>
    <row r="3">
      <c r="A3" s="8">
        <f>IF(LEN(B3)=0,"","RAS-EVT-"&amp;TEXT(ROW()-1,"00"))</f>
        <v/>
      </c>
      <c r="B3" s="8" t="inlineStr">
        <is>
          <t>Mesa de Trabajo</t>
        </is>
      </c>
      <c r="C3" s="17" t="n">
        <v>46261</v>
      </c>
      <c r="D3" s="8" t="inlineStr">
        <is>
          <t>Por definir — sede externa UNODC</t>
        </is>
      </c>
      <c r="E3" s="8" t="inlineStr">
        <is>
          <t>Solicitado a UNODC</t>
        </is>
      </c>
      <c r="F3" s="24" t="n"/>
      <c r="G3" s="8" t="inlineStr">
        <is>
          <t>Planeación de actividades y explicación del formulario de diagnóstico.</t>
        </is>
      </c>
      <c r="H3" s="8" t="n"/>
    </row>
    <row r="4">
      <c r="A4" s="8">
        <f>IF(LEN(B4)=0,"","RAS-EVT-"&amp;TEXT(ROW()-1,"00"))</f>
        <v/>
      </c>
      <c r="B4" s="8" t="n"/>
      <c r="C4" s="17" t="n"/>
      <c r="D4" s="8" t="n"/>
      <c r="E4" s="8" t="n"/>
      <c r="F4" s="24" t="n"/>
      <c r="G4" s="8" t="n"/>
      <c r="H4" s="8" t="n"/>
    </row>
    <row r="5">
      <c r="A5" s="8">
        <f>IF(LEN(B5)=0,"","RAS-EVT-"&amp;TEXT(ROW()-1,"00"))</f>
        <v/>
      </c>
      <c r="B5" s="8" t="n"/>
      <c r="C5" s="17" t="n"/>
      <c r="D5" s="8" t="n"/>
      <c r="E5" s="8" t="n"/>
      <c r="F5" s="24" t="n"/>
      <c r="G5" s="8" t="n"/>
      <c r="H5" s="8" t="n"/>
    </row>
    <row r="6">
      <c r="A6" s="8">
        <f>IF(LEN(B6)=0,"","RAS-EVT-"&amp;TEXT(ROW()-1,"00"))</f>
        <v/>
      </c>
      <c r="B6" s="8" t="n"/>
      <c r="C6" s="17" t="n"/>
      <c r="D6" s="8" t="n"/>
      <c r="E6" s="8" t="n"/>
      <c r="F6" s="24" t="n"/>
      <c r="G6" s="8" t="n"/>
      <c r="H6" s="8" t="n"/>
    </row>
    <row r="7">
      <c r="A7" s="8">
        <f>IF(LEN(B7)=0,"","RAS-EVT-"&amp;TEXT(ROW()-1,"00"))</f>
        <v/>
      </c>
      <c r="B7" s="8" t="n"/>
      <c r="C7" s="17" t="n"/>
      <c r="D7" s="8" t="n"/>
      <c r="E7" s="8" t="n"/>
      <c r="F7" s="24" t="n"/>
      <c r="G7" s="8" t="n"/>
      <c r="H7" s="8" t="n"/>
    </row>
    <row r="8">
      <c r="A8" s="8">
        <f>IF(LEN(B8)=0,"","RAS-EVT-"&amp;TEXT(ROW()-1,"00"))</f>
        <v/>
      </c>
      <c r="B8" s="8" t="n"/>
      <c r="C8" s="17" t="n"/>
      <c r="D8" s="8" t="n"/>
      <c r="E8" s="8" t="n"/>
      <c r="F8" s="24" t="n"/>
      <c r="G8" s="8" t="n"/>
      <c r="H8" s="8" t="n"/>
    </row>
    <row r="9">
      <c r="A9" s="8">
        <f>IF(LEN(B9)=0,"","RAS-EVT-"&amp;TEXT(ROW()-1,"00"))</f>
        <v/>
      </c>
      <c r="B9" s="8" t="n"/>
      <c r="C9" s="17" t="n"/>
      <c r="D9" s="8" t="n"/>
      <c r="E9" s="8" t="n"/>
      <c r="F9" s="24" t="n"/>
      <c r="G9" s="8" t="n"/>
      <c r="H9" s="8" t="n"/>
    </row>
    <row r="10">
      <c r="A10" s="8">
        <f>IF(LEN(B10)=0,"","RAS-EVT-"&amp;TEXT(ROW()-1,"00"))</f>
        <v/>
      </c>
      <c r="B10" s="8" t="n"/>
      <c r="C10" s="17" t="n"/>
      <c r="D10" s="8" t="n"/>
      <c r="E10" s="8" t="n"/>
      <c r="F10" s="24" t="n"/>
      <c r="G10" s="8" t="n"/>
      <c r="H10" s="8" t="n"/>
    </row>
    <row r="11">
      <c r="A11" s="8">
        <f>IF(LEN(B11)=0,"","RAS-EVT-"&amp;TEXT(ROW()-1,"00"))</f>
        <v/>
      </c>
      <c r="B11" s="8" t="n"/>
      <c r="C11" s="17" t="n"/>
      <c r="D11" s="8" t="n"/>
      <c r="E11" s="8" t="n"/>
      <c r="F11" s="24" t="n"/>
      <c r="G11" s="8" t="n"/>
      <c r="H11" s="8" t="n"/>
    </row>
    <row r="12">
      <c r="A12" s="8">
        <f>IF(LEN(B12)=0,"","RAS-EVT-"&amp;TEXT(ROW()-1,"00"))</f>
        <v/>
      </c>
      <c r="B12" s="8" t="n"/>
      <c r="C12" s="17" t="n"/>
      <c r="D12" s="8" t="n"/>
      <c r="E12" s="8" t="n"/>
      <c r="F12" s="24" t="n"/>
      <c r="G12" s="8" t="n"/>
      <c r="H12" s="8" t="n"/>
    </row>
    <row r="13">
      <c r="A13" s="8">
        <f>IF(LEN(B13)=0,"","RAS-EVT-"&amp;TEXT(ROW()-1,"00"))</f>
        <v/>
      </c>
      <c r="B13" s="8" t="n"/>
      <c r="C13" s="17" t="n"/>
      <c r="D13" s="8" t="n"/>
      <c r="E13" s="8" t="n"/>
      <c r="F13" s="24" t="n"/>
      <c r="G13" s="8" t="n"/>
      <c r="H13" s="8" t="n"/>
    </row>
    <row r="14">
      <c r="A14" s="8">
        <f>IF(LEN(B14)=0,"","RAS-EVT-"&amp;TEXT(ROW()-1,"00"))</f>
        <v/>
      </c>
      <c r="B14" s="8" t="n"/>
      <c r="C14" s="17" t="n"/>
      <c r="D14" s="8" t="n"/>
      <c r="E14" s="8" t="n"/>
      <c r="F14" s="24" t="n"/>
      <c r="G14" s="8" t="n"/>
      <c r="H14" s="8" t="n"/>
    </row>
    <row r="15">
      <c r="A15" s="8">
        <f>IF(LEN(B15)=0,"","RAS-EVT-"&amp;TEXT(ROW()-1,"00"))</f>
        <v/>
      </c>
      <c r="B15" s="8" t="n"/>
      <c r="C15" s="17" t="n"/>
      <c r="D15" s="8" t="n"/>
      <c r="E15" s="8" t="n"/>
      <c r="F15" s="24" t="n"/>
      <c r="G15" s="8" t="n"/>
      <c r="H15" s="8" t="n"/>
    </row>
    <row r="16">
      <c r="A16" s="8">
        <f>IF(LEN(B16)=0,"","RAS-EVT-"&amp;TEXT(ROW()-1,"00"))</f>
        <v/>
      </c>
      <c r="B16" s="8" t="n"/>
      <c r="C16" s="17" t="n"/>
      <c r="D16" s="8" t="n"/>
      <c r="E16" s="8" t="n"/>
      <c r="F16" s="24" t="n"/>
      <c r="G16" s="8" t="n"/>
      <c r="H16" s="8" t="n"/>
    </row>
    <row r="17">
      <c r="A17" s="8">
        <f>IF(LEN(B17)=0,"","RAS-EVT-"&amp;TEXT(ROW()-1,"00"))</f>
        <v/>
      </c>
      <c r="B17" s="8" t="n"/>
      <c r="C17" s="17" t="n"/>
      <c r="D17" s="8" t="n"/>
      <c r="E17" s="8" t="n"/>
      <c r="F17" s="24" t="n"/>
      <c r="G17" s="8" t="n"/>
      <c r="H17" s="8" t="n"/>
    </row>
    <row r="18">
      <c r="A18" s="8">
        <f>IF(LEN(B18)=0,"","RAS-EVT-"&amp;TEXT(ROW()-1,"00"))</f>
        <v/>
      </c>
      <c r="B18" s="8" t="n"/>
      <c r="C18" s="17" t="n"/>
      <c r="D18" s="8" t="n"/>
      <c r="E18" s="8" t="n"/>
      <c r="F18" s="24" t="n"/>
      <c r="G18" s="8" t="n"/>
      <c r="H18" s="8" t="n"/>
    </row>
    <row r="19">
      <c r="A19" s="8">
        <f>IF(LEN(B19)=0,"","RAS-EVT-"&amp;TEXT(ROW()-1,"00"))</f>
        <v/>
      </c>
      <c r="B19" s="8" t="n"/>
      <c r="C19" s="17" t="n"/>
      <c r="D19" s="8" t="n"/>
      <c r="E19" s="8" t="n"/>
      <c r="F19" s="24" t="n"/>
      <c r="G19" s="8" t="n"/>
      <c r="H19" s="8" t="n"/>
    </row>
    <row r="20">
      <c r="A20" s="8">
        <f>IF(LEN(B20)=0,"","RAS-EVT-"&amp;TEXT(ROW()-1,"00"))</f>
        <v/>
      </c>
      <c r="B20" s="8" t="n"/>
      <c r="C20" s="17" t="n"/>
      <c r="D20" s="8" t="n"/>
      <c r="E20" s="8" t="n"/>
      <c r="F20" s="24" t="n"/>
      <c r="G20" s="8" t="n"/>
      <c r="H20" s="8" t="n"/>
    </row>
    <row r="21">
      <c r="A21" s="8">
        <f>IF(LEN(B21)=0,"","RAS-EVT-"&amp;TEXT(ROW()-1,"00"))</f>
        <v/>
      </c>
      <c r="B21" s="8" t="n"/>
      <c r="C21" s="17" t="n"/>
      <c r="D21" s="8" t="n"/>
      <c r="E21" s="8" t="n"/>
      <c r="F21" s="24" t="n"/>
      <c r="G21" s="8" t="n"/>
      <c r="H21" s="8" t="n"/>
    </row>
    <row r="22">
      <c r="A22" s="8">
        <f>IF(LEN(B22)=0,"","RAS-EVT-"&amp;TEXT(ROW()-1,"00"))</f>
        <v/>
      </c>
      <c r="B22" s="8" t="n"/>
      <c r="C22" s="17" t="n"/>
      <c r="D22" s="8" t="n"/>
      <c r="E22" s="8" t="n"/>
      <c r="F22" s="24" t="n"/>
      <c r="G22" s="8" t="n"/>
      <c r="H22" s="8" t="n"/>
    </row>
    <row r="23">
      <c r="A23" s="8">
        <f>IF(LEN(B23)=0,"","RAS-EVT-"&amp;TEXT(ROW()-1,"00"))</f>
        <v/>
      </c>
      <c r="B23" s="8" t="n"/>
      <c r="C23" s="17" t="n"/>
      <c r="D23" s="8" t="n"/>
      <c r="E23" s="8" t="n"/>
      <c r="F23" s="24" t="n"/>
      <c r="G23" s="8" t="n"/>
      <c r="H23" s="8" t="n"/>
    </row>
    <row r="24">
      <c r="A24" s="8">
        <f>IF(LEN(B24)=0,"","RAS-EVT-"&amp;TEXT(ROW()-1,"00"))</f>
        <v/>
      </c>
      <c r="B24" s="8" t="n"/>
      <c r="C24" s="17" t="n"/>
      <c r="D24" s="8" t="n"/>
      <c r="E24" s="8" t="n"/>
      <c r="F24" s="24" t="n"/>
      <c r="G24" s="8" t="n"/>
      <c r="H24" s="8" t="n"/>
    </row>
    <row r="25">
      <c r="A25" s="8">
        <f>IF(LEN(B25)=0,"","RAS-EVT-"&amp;TEXT(ROW()-1,"00"))</f>
        <v/>
      </c>
      <c r="B25" s="8" t="n"/>
      <c r="C25" s="17" t="n"/>
      <c r="D25" s="8" t="n"/>
      <c r="E25" s="8" t="n"/>
      <c r="F25" s="24" t="n"/>
      <c r="G25" s="8" t="n"/>
      <c r="H25" s="8" t="n"/>
    </row>
    <row r="26">
      <c r="A26" s="8">
        <f>IF(LEN(B26)=0,"","RAS-EVT-"&amp;TEXT(ROW()-1,"00"))</f>
        <v/>
      </c>
      <c r="B26" s="8" t="n"/>
      <c r="C26" s="17" t="n"/>
      <c r="D26" s="8" t="n"/>
      <c r="E26" s="8" t="n"/>
      <c r="F26" s="24" t="n"/>
      <c r="G26" s="8" t="n"/>
      <c r="H26" s="8" t="n"/>
    </row>
    <row r="27">
      <c r="A27" s="8">
        <f>IF(LEN(B27)=0,"","RAS-EVT-"&amp;TEXT(ROW()-1,"00"))</f>
        <v/>
      </c>
      <c r="B27" s="8" t="n"/>
      <c r="C27" s="17" t="n"/>
      <c r="D27" s="8" t="n"/>
      <c r="E27" s="8" t="n"/>
      <c r="F27" s="24" t="n"/>
      <c r="G27" s="8" t="n"/>
      <c r="H27" s="8" t="n"/>
    </row>
    <row r="28">
      <c r="A28" s="8">
        <f>IF(LEN(B28)=0,"","RAS-EVT-"&amp;TEXT(ROW()-1,"00"))</f>
        <v/>
      </c>
      <c r="B28" s="8" t="n"/>
      <c r="C28" s="17" t="n"/>
      <c r="D28" s="8" t="n"/>
      <c r="E28" s="8" t="n"/>
      <c r="F28" s="24" t="n"/>
      <c r="G28" s="8" t="n"/>
      <c r="H28" s="8" t="n"/>
    </row>
    <row r="29">
      <c r="A29" s="8">
        <f>IF(LEN(B29)=0,"","RAS-EVT-"&amp;TEXT(ROW()-1,"00"))</f>
        <v/>
      </c>
      <c r="B29" s="8" t="n"/>
      <c r="C29" s="17" t="n"/>
      <c r="D29" s="8" t="n"/>
      <c r="E29" s="8" t="n"/>
      <c r="F29" s="24" t="n"/>
      <c r="G29" s="8" t="n"/>
      <c r="H29" s="8" t="n"/>
    </row>
    <row r="30">
      <c r="A30" s="8">
        <f>IF(LEN(B30)=0,"","RAS-EVT-"&amp;TEXT(ROW()-1,"00"))</f>
        <v/>
      </c>
      <c r="B30" s="8" t="n"/>
      <c r="C30" s="17" t="n"/>
      <c r="D30" s="8" t="n"/>
      <c r="E30" s="8" t="n"/>
      <c r="F30" s="24" t="n"/>
      <c r="G30" s="8" t="n"/>
      <c r="H30" s="8" t="n"/>
    </row>
    <row r="31">
      <c r="A31" s="8">
        <f>IF(LEN(B31)=0,"","RAS-EVT-"&amp;TEXT(ROW()-1,"00"))</f>
        <v/>
      </c>
      <c r="B31" s="8" t="n"/>
      <c r="C31" s="17" t="n"/>
      <c r="D31" s="8" t="n"/>
      <c r="E31" s="8" t="n"/>
      <c r="F31" s="24" t="n"/>
      <c r="G31" s="8" t="n"/>
      <c r="H31" s="8" t="n"/>
    </row>
    <row r="32">
      <c r="A32" s="8">
        <f>IF(LEN(B32)=0,"","RAS-EVT-"&amp;TEXT(ROW()-1,"00"))</f>
        <v/>
      </c>
      <c r="B32" s="8" t="n"/>
      <c r="C32" s="17" t="n"/>
      <c r="D32" s="8" t="n"/>
      <c r="E32" s="8" t="n"/>
      <c r="F32" s="24" t="n"/>
      <c r="G32" s="8" t="n"/>
      <c r="H32" s="8" t="n"/>
    </row>
    <row r="33">
      <c r="A33" s="8">
        <f>IF(LEN(B33)=0,"","RAS-EVT-"&amp;TEXT(ROW()-1,"00"))</f>
        <v/>
      </c>
      <c r="B33" s="8" t="n"/>
      <c r="C33" s="17" t="n"/>
      <c r="D33" s="8" t="n"/>
      <c r="E33" s="8" t="n"/>
      <c r="F33" s="24" t="n"/>
      <c r="G33" s="8" t="n"/>
      <c r="H33" s="8" t="n"/>
    </row>
    <row r="34">
      <c r="A34" s="8">
        <f>IF(LEN(B34)=0,"","RAS-EVT-"&amp;TEXT(ROW()-1,"00"))</f>
        <v/>
      </c>
      <c r="B34" s="8" t="n"/>
      <c r="C34" s="17" t="n"/>
      <c r="D34" s="8" t="n"/>
      <c r="E34" s="8" t="n"/>
      <c r="F34" s="24" t="n"/>
      <c r="G34" s="8" t="n"/>
      <c r="H34" s="8" t="n"/>
    </row>
    <row r="35">
      <c r="A35" s="8">
        <f>IF(LEN(B35)=0,"","RAS-EVT-"&amp;TEXT(ROW()-1,"00"))</f>
        <v/>
      </c>
      <c r="B35" s="8" t="n"/>
      <c r="C35" s="17" t="n"/>
      <c r="D35" s="8" t="n"/>
      <c r="E35" s="8" t="n"/>
      <c r="F35" s="24" t="n"/>
      <c r="G35" s="8" t="n"/>
      <c r="H35" s="8" t="n"/>
    </row>
    <row r="36">
      <c r="A36" s="8">
        <f>IF(LEN(B36)=0,"","RAS-EVT-"&amp;TEXT(ROW()-1,"00"))</f>
        <v/>
      </c>
      <c r="B36" s="8" t="n"/>
      <c r="C36" s="17" t="n"/>
      <c r="D36" s="8" t="n"/>
      <c r="E36" s="8" t="n"/>
      <c r="F36" s="24" t="n"/>
      <c r="G36" s="8" t="n"/>
      <c r="H36" s="8" t="n"/>
    </row>
    <row r="37">
      <c r="A37" s="8">
        <f>IF(LEN(B37)=0,"","RAS-EVT-"&amp;TEXT(ROW()-1,"00"))</f>
        <v/>
      </c>
      <c r="B37" s="8" t="n"/>
      <c r="C37" s="17" t="n"/>
      <c r="D37" s="8" t="n"/>
      <c r="E37" s="8" t="n"/>
      <c r="F37" s="24" t="n"/>
      <c r="G37" s="8" t="n"/>
      <c r="H37" s="8" t="n"/>
    </row>
    <row r="38">
      <c r="A38" s="8">
        <f>IF(LEN(B38)=0,"","RAS-EVT-"&amp;TEXT(ROW()-1,"00"))</f>
        <v/>
      </c>
      <c r="B38" s="8" t="n"/>
      <c r="C38" s="17" t="n"/>
      <c r="D38" s="8" t="n"/>
      <c r="E38" s="8" t="n"/>
      <c r="F38" s="24" t="n"/>
      <c r="G38" s="8" t="n"/>
      <c r="H38" s="8" t="n"/>
    </row>
    <row r="39">
      <c r="A39" s="8">
        <f>IF(LEN(B39)=0,"","RAS-EVT-"&amp;TEXT(ROW()-1,"00"))</f>
        <v/>
      </c>
      <c r="B39" s="8" t="n"/>
      <c r="C39" s="17" t="n"/>
      <c r="D39" s="8" t="n"/>
      <c r="E39" s="8" t="n"/>
      <c r="F39" s="24" t="n"/>
      <c r="G39" s="8" t="n"/>
      <c r="H39" s="8" t="n"/>
    </row>
    <row r="40">
      <c r="A40" s="8">
        <f>IF(LEN(B40)=0,"","RAS-EVT-"&amp;TEXT(ROW()-1,"00"))</f>
        <v/>
      </c>
      <c r="B40" s="8" t="n"/>
      <c r="C40" s="17" t="n"/>
      <c r="D40" s="8" t="n"/>
      <c r="E40" s="8" t="n"/>
      <c r="F40" s="24" t="n"/>
      <c r="G40" s="8" t="n"/>
      <c r="H40" s="8" t="n"/>
    </row>
    <row r="41">
      <c r="A41" s="8">
        <f>IF(LEN(B41)=0,"","RAS-EVT-"&amp;TEXT(ROW()-1,"00"))</f>
        <v/>
      </c>
      <c r="B41" s="8" t="n"/>
      <c r="C41" s="17" t="n"/>
      <c r="D41" s="8" t="n"/>
      <c r="E41" s="8" t="n"/>
      <c r="F41" s="24" t="n"/>
      <c r="G41" s="8" t="n"/>
      <c r="H41" s="8" t="n"/>
    </row>
    <row r="42">
      <c r="A42" s="8">
        <f>IF(LEN(B42)=0,"","RAS-EVT-"&amp;TEXT(ROW()-1,"00"))</f>
        <v/>
      </c>
      <c r="B42" s="8" t="n"/>
      <c r="C42" s="17" t="n"/>
      <c r="D42" s="8" t="n"/>
      <c r="E42" s="8" t="n"/>
      <c r="F42" s="24" t="n"/>
      <c r="G42" s="8" t="n"/>
      <c r="H42" s="8" t="n"/>
    </row>
    <row r="43">
      <c r="A43" s="8">
        <f>IF(LEN(B43)=0,"","RAS-EVT-"&amp;TEXT(ROW()-1,"00"))</f>
        <v/>
      </c>
      <c r="B43" s="8" t="n"/>
      <c r="C43" s="17" t="n"/>
      <c r="D43" s="8" t="n"/>
      <c r="E43" s="8" t="n"/>
      <c r="F43" s="24" t="n"/>
      <c r="G43" s="8" t="n"/>
      <c r="H43" s="8" t="n"/>
    </row>
    <row r="44">
      <c r="A44" s="8">
        <f>IF(LEN(B44)=0,"","RAS-EVT-"&amp;TEXT(ROW()-1,"00"))</f>
        <v/>
      </c>
      <c r="B44" s="8" t="n"/>
      <c r="C44" s="17" t="n"/>
      <c r="D44" s="8" t="n"/>
      <c r="E44" s="8" t="n"/>
      <c r="F44" s="24" t="n"/>
      <c r="G44" s="8" t="n"/>
      <c r="H44" s="8" t="n"/>
    </row>
    <row r="45">
      <c r="A45" s="8">
        <f>IF(LEN(B45)=0,"","RAS-EVT-"&amp;TEXT(ROW()-1,"00"))</f>
        <v/>
      </c>
      <c r="B45" s="8" t="n"/>
      <c r="C45" s="17" t="n"/>
      <c r="D45" s="8" t="n"/>
      <c r="E45" s="8" t="n"/>
      <c r="F45" s="24" t="n"/>
      <c r="G45" s="8" t="n"/>
      <c r="H45" s="8" t="n"/>
    </row>
    <row r="46">
      <c r="A46" s="8">
        <f>IF(LEN(B46)=0,"","RAS-EVT-"&amp;TEXT(ROW()-1,"00"))</f>
        <v/>
      </c>
      <c r="B46" s="8" t="n"/>
      <c r="C46" s="17" t="n"/>
      <c r="D46" s="8" t="n"/>
      <c r="E46" s="8" t="n"/>
      <c r="F46" s="24" t="n"/>
      <c r="G46" s="8" t="n"/>
      <c r="H46" s="8" t="n"/>
    </row>
    <row r="47">
      <c r="A47" s="8">
        <f>IF(LEN(B47)=0,"","RAS-EVT-"&amp;TEXT(ROW()-1,"00"))</f>
        <v/>
      </c>
      <c r="B47" s="8" t="n"/>
      <c r="C47" s="17" t="n"/>
      <c r="D47" s="8" t="n"/>
      <c r="E47" s="8" t="n"/>
      <c r="F47" s="24" t="n"/>
      <c r="G47" s="8" t="n"/>
      <c r="H47" s="8" t="n"/>
    </row>
    <row r="48">
      <c r="A48" s="8">
        <f>IF(LEN(B48)=0,"","RAS-EVT-"&amp;TEXT(ROW()-1,"00"))</f>
        <v/>
      </c>
      <c r="B48" s="8" t="n"/>
      <c r="C48" s="17" t="n"/>
      <c r="D48" s="8" t="n"/>
      <c r="E48" s="8" t="n"/>
      <c r="F48" s="24" t="n"/>
      <c r="G48" s="8" t="n"/>
      <c r="H48" s="8" t="n"/>
    </row>
    <row r="49">
      <c r="A49" s="8">
        <f>IF(LEN(B49)=0,"","RAS-EVT-"&amp;TEXT(ROW()-1,"00"))</f>
        <v/>
      </c>
      <c r="B49" s="8" t="n"/>
      <c r="C49" s="17" t="n"/>
      <c r="D49" s="8" t="n"/>
      <c r="E49" s="8" t="n"/>
      <c r="F49" s="24" t="n"/>
      <c r="G49" s="8" t="n"/>
      <c r="H49" s="8" t="n"/>
    </row>
    <row r="50">
      <c r="A50" s="8">
        <f>IF(LEN(B50)=0,"","RAS-EVT-"&amp;TEXT(ROW()-1,"00"))</f>
        <v/>
      </c>
      <c r="B50" s="8" t="n"/>
      <c r="C50" s="17" t="n"/>
      <c r="D50" s="8" t="n"/>
      <c r="E50" s="8" t="n"/>
      <c r="F50" s="24" t="n"/>
      <c r="G50" s="8" t="n"/>
      <c r="H50" s="8" t="n"/>
    </row>
    <row r="51">
      <c r="A51" s="8">
        <f>IF(LEN(B51)=0,"","RAS-EVT-"&amp;TEXT(ROW()-1,"00"))</f>
        <v/>
      </c>
      <c r="B51" s="8" t="n"/>
      <c r="C51" s="17" t="n"/>
      <c r="D51" s="8" t="n"/>
      <c r="E51" s="8" t="n"/>
      <c r="F51" s="24" t="n"/>
      <c r="G51" s="8" t="n"/>
      <c r="H51" s="8" t="n"/>
    </row>
    <row r="52">
      <c r="A52" s="8">
        <f>IF(LEN(B52)=0,"","RAS-EVT-"&amp;TEXT(ROW()-1,"00"))</f>
        <v/>
      </c>
      <c r="B52" s="8" t="n"/>
      <c r="C52" s="17" t="n"/>
      <c r="D52" s="8" t="n"/>
      <c r="E52" s="8" t="n"/>
      <c r="F52" s="24" t="n"/>
      <c r="G52" s="8" t="n"/>
      <c r="H52" s="8" t="n"/>
    </row>
    <row r="53">
      <c r="A53" s="8">
        <f>IF(LEN(B53)=0,"","RAS-EVT-"&amp;TEXT(ROW()-1,"00"))</f>
        <v/>
      </c>
      <c r="B53" s="8" t="n"/>
      <c r="C53" s="17" t="n"/>
      <c r="D53" s="8" t="n"/>
      <c r="E53" s="8" t="n"/>
      <c r="F53" s="24" t="n"/>
      <c r="G53" s="8" t="n"/>
      <c r="H53" s="8" t="n"/>
    </row>
    <row r="54">
      <c r="A54" s="8">
        <f>IF(LEN(B54)=0,"","RAS-EVT-"&amp;TEXT(ROW()-1,"00"))</f>
        <v/>
      </c>
      <c r="B54" s="8" t="n"/>
      <c r="C54" s="17" t="n"/>
      <c r="D54" s="8" t="n"/>
      <c r="E54" s="8" t="n"/>
      <c r="F54" s="24" t="n"/>
      <c r="G54" s="8" t="n"/>
      <c r="H54" s="8" t="n"/>
    </row>
    <row r="55">
      <c r="A55" s="8">
        <f>IF(LEN(B55)=0,"","RAS-EVT-"&amp;TEXT(ROW()-1,"00"))</f>
        <v/>
      </c>
      <c r="B55" s="8" t="n"/>
      <c r="C55" s="17" t="n"/>
      <c r="D55" s="8" t="n"/>
      <c r="E55" s="8" t="n"/>
      <c r="F55" s="24" t="n"/>
      <c r="G55" s="8" t="n"/>
      <c r="H55" s="8" t="n"/>
    </row>
    <row r="56">
      <c r="A56" s="8">
        <f>IF(LEN(B56)=0,"","RAS-EVT-"&amp;TEXT(ROW()-1,"00"))</f>
        <v/>
      </c>
      <c r="B56" s="8" t="n"/>
      <c r="C56" s="17" t="n"/>
      <c r="D56" s="8" t="n"/>
      <c r="E56" s="8" t="n"/>
      <c r="F56" s="24" t="n"/>
      <c r="G56" s="8" t="n"/>
      <c r="H56" s="8" t="n"/>
    </row>
    <row r="57">
      <c r="A57" s="8">
        <f>IF(LEN(B57)=0,"","RAS-EVT-"&amp;TEXT(ROW()-1,"00"))</f>
        <v/>
      </c>
      <c r="B57" s="8" t="n"/>
      <c r="C57" s="17" t="n"/>
      <c r="D57" s="8" t="n"/>
      <c r="E57" s="8" t="n"/>
      <c r="F57" s="24" t="n"/>
      <c r="G57" s="8" t="n"/>
      <c r="H57" s="8" t="n"/>
    </row>
    <row r="58">
      <c r="A58" s="8">
        <f>IF(LEN(B58)=0,"","RAS-EVT-"&amp;TEXT(ROW()-1,"00"))</f>
        <v/>
      </c>
      <c r="B58" s="8" t="n"/>
      <c r="C58" s="17" t="n"/>
      <c r="D58" s="8" t="n"/>
      <c r="E58" s="8" t="n"/>
      <c r="F58" s="24" t="n"/>
      <c r="G58" s="8" t="n"/>
      <c r="H58" s="8" t="n"/>
    </row>
    <row r="59">
      <c r="A59" s="8">
        <f>IF(LEN(B59)=0,"","RAS-EVT-"&amp;TEXT(ROW()-1,"00"))</f>
        <v/>
      </c>
      <c r="B59" s="8" t="n"/>
      <c r="C59" s="17" t="n"/>
      <c r="D59" s="8" t="n"/>
      <c r="E59" s="8" t="n"/>
      <c r="F59" s="24" t="n"/>
      <c r="G59" s="8" t="n"/>
      <c r="H59" s="8" t="n"/>
    </row>
    <row r="60">
      <c r="A60" s="8">
        <f>IF(LEN(B60)=0,"","RAS-EVT-"&amp;TEXT(ROW()-1,"00"))</f>
        <v/>
      </c>
      <c r="B60" s="8" t="n"/>
      <c r="C60" s="17" t="n"/>
      <c r="D60" s="8" t="n"/>
      <c r="E60" s="8" t="n"/>
      <c r="F60" s="24" t="n"/>
      <c r="G60" s="8" t="n"/>
      <c r="H60" s="8" t="n"/>
    </row>
    <row r="61">
      <c r="A61" s="8">
        <f>IF(LEN(B61)=0,"","RAS-EVT-"&amp;TEXT(ROW()-1,"00"))</f>
        <v/>
      </c>
      <c r="B61" s="8" t="n"/>
      <c r="C61" s="17" t="n"/>
      <c r="D61" s="8" t="n"/>
      <c r="E61" s="8" t="n"/>
      <c r="F61" s="24" t="n"/>
      <c r="G61" s="8" t="n"/>
      <c r="H61" s="8" t="n"/>
    </row>
  </sheetData>
  <dataValidations count="2">
    <dataValidation sqref="B2:B61" showDropDown="0" showInputMessage="0" showErrorMessage="0" allowBlank="1" type="list">
      <formula1>Listas_Catalogos!$C$2:$C$3</formula1>
    </dataValidation>
    <dataValidation sqref="E2:E61" showDropDown="0" showInputMessage="0" showErrorMessage="0" allowBlank="1" type="list">
      <formula1>Listas_Catalogos!$D$2:$D$5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</cols>
  <sheetData>
    <row r="1" ht="42" customHeight="1">
      <c r="A1" s="4" t="inlineStr">
        <is>
          <t>Participante o Alterno</t>
        </is>
      </c>
      <c r="B1" s="4" t="inlineStr">
        <is>
          <t>Nombre(s)</t>
        </is>
      </c>
      <c r="C1" s="4" t="inlineStr">
        <is>
          <t>Apellidos</t>
        </is>
      </c>
      <c r="D1" s="4" t="inlineStr">
        <is>
          <t>CURP</t>
        </is>
      </c>
      <c r="E1" s="4" t="inlineStr">
        <is>
          <t>Sexo</t>
        </is>
      </c>
      <c r="F1" s="4" t="inlineStr">
        <is>
          <t>Fecha de Nacimiento (mm/dd/aaaa)</t>
        </is>
      </c>
      <c r="G1" s="4" t="inlineStr">
        <is>
          <t>Nacimiento — Ciudad o Municipio</t>
        </is>
      </c>
      <c r="H1" s="4" t="inlineStr">
        <is>
          <t>Nacimiento — Estado</t>
        </is>
      </c>
      <c r="I1" s="4" t="inlineStr">
        <is>
          <t>Nacimiento — País</t>
        </is>
      </c>
      <c r="J1" s="4" t="inlineStr">
        <is>
          <t>Último Nivel de Estudios</t>
        </is>
      </c>
      <c r="K1" s="4" t="inlineStr">
        <is>
          <t>Conocimiento del Idioma Inglés</t>
        </is>
      </c>
      <c r="L1" s="4" t="inlineStr">
        <is>
          <t>Correo Electrónico</t>
        </is>
      </c>
      <c r="M1" s="4" t="inlineStr">
        <is>
          <t>Teléfono</t>
        </is>
      </c>
      <c r="N1" s="4" t="inlineStr">
        <is>
          <t>Residencia — Ciudad o Municipio</t>
        </is>
      </c>
      <c r="O1" s="4" t="inlineStr">
        <is>
          <t>Residencia — Estado</t>
        </is>
      </c>
      <c r="P1" s="4" t="inlineStr">
        <is>
          <t>Residencia — País</t>
        </is>
      </c>
      <c r="Q1" s="4" t="inlineStr">
        <is>
          <t>Dependencia / Organización</t>
        </is>
      </c>
      <c r="R1" s="4" t="inlineStr">
        <is>
          <t>Puesto / Ocupación</t>
        </is>
      </c>
      <c r="S1" s="4" t="inlineStr">
        <is>
          <t>Rango (si aplica)</t>
        </is>
      </c>
      <c r="T1" s="4" t="inlineStr">
        <is>
          <t>¿Jefe de Unidad? (Sí/No)</t>
        </is>
      </c>
      <c r="U1" s="4" t="inlineStr">
        <is>
          <t>CUIP</t>
        </is>
      </c>
      <c r="V1" s="4" t="inlineStr">
        <is>
          <t>¿Control de Confianza Aprobado? (Sí/No)</t>
        </is>
      </c>
      <c r="W1" s="4" t="inlineStr">
        <is>
          <t>Fecha de Certificación de Control de Confianza</t>
        </is>
      </c>
      <c r="X1" s="4" t="inlineStr">
        <is>
          <t>Años de Experiencia en Puesto Actual</t>
        </is>
      </c>
      <c r="Y1" s="4" t="inlineStr">
        <is>
          <t>Nombre de Contacto de la Dependencia</t>
        </is>
      </c>
      <c r="Z1" s="4" t="inlineStr">
        <is>
          <t>Correo de Contacto de la Dependencia</t>
        </is>
      </c>
      <c r="AA1" s="4" t="inlineStr">
        <is>
          <t>ID Unidad</t>
        </is>
      </c>
      <c r="AB1" s="4" t="inlineStr">
        <is>
          <t>Ciudad de Partida</t>
        </is>
      </c>
      <c r="AC1" s="4" t="inlineStr">
        <is>
          <t>Unidad en Organigrama (nivel 1)</t>
        </is>
      </c>
      <c r="AD1" s="4" t="inlineStr">
        <is>
          <t>Unidad en Organigrama (nivel 2)</t>
        </is>
      </c>
      <c r="AE1" s="4" t="inlineStr">
        <is>
          <t>Autorización del Gobierno de México</t>
        </is>
      </c>
    </row>
    <row r="2">
      <c r="A2" s="6" t="inlineStr">
        <is>
          <t>Estructura espejo de la pestaña Participants del archivo oficial Formato VETTING 2026.xlsx. Se llena solo al momento de exportar a la Embajada; el control interno vive en Vetting_Beneficiarios.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62" customWidth="1" min="3" max="3"/>
    <col width="24" customWidth="1" min="4" max="4"/>
    <col width="18" customWidth="1" min="5" max="5"/>
    <col width="16" customWidth="1" min="6" max="6"/>
    <col width="20" customWidth="1" min="7" max="7"/>
  </cols>
  <sheetData>
    <row r="1" ht="42" customHeight="1">
      <c r="A1" s="4" t="inlineStr">
        <is>
          <t>ID_Pendiente</t>
        </is>
      </c>
      <c r="B1" s="4" t="inlineStr">
        <is>
          <t>Titulo</t>
        </is>
      </c>
      <c r="C1" s="4" t="inlineStr">
        <is>
          <t>Descripcion</t>
        </is>
      </c>
      <c r="D1" s="4" t="inlineStr">
        <is>
          <t>Responsable</t>
        </is>
      </c>
      <c r="E1" s="4" t="inlineStr">
        <is>
          <t>Estatus</t>
        </is>
      </c>
      <c r="F1" s="4" t="inlineStr">
        <is>
          <t>Nivel_Alerta</t>
        </is>
      </c>
      <c r="G1" s="4" t="inlineStr">
        <is>
          <t>Fecha_Vencimiento</t>
        </is>
      </c>
    </row>
    <row r="2" ht="34" customHeight="1">
      <c r="A2" s="8" t="inlineStr">
        <is>
          <t>P001</t>
        </is>
      </c>
      <c r="B2" s="8" t="inlineStr">
        <is>
          <t>Anexo 3</t>
        </is>
      </c>
      <c r="C2" s="8" t="inlineStr">
        <is>
          <t>Confirmar si la Embajada lo requerirá, para anticiparlo en la planeación logística de los oficios.</t>
        </is>
      </c>
      <c r="D2" s="8" t="inlineStr">
        <is>
          <t>UNODC</t>
        </is>
      </c>
      <c r="E2" s="8" t="inlineStr">
        <is>
          <t>Pendiente</t>
        </is>
      </c>
      <c r="F2" s="8" t="inlineStr">
        <is>
          <t>Crítica</t>
        </is>
      </c>
      <c r="G2" s="8" t="n"/>
    </row>
    <row r="3" ht="34" customHeight="1">
      <c r="A3" s="8" t="inlineStr">
        <is>
          <t>P002</t>
        </is>
      </c>
      <c r="B3" s="8" t="inlineStr">
        <is>
          <t>Sede de las mesas de trabajo</t>
        </is>
      </c>
      <c r="C3" s="8" t="inlineStr">
        <is>
          <t>UNODC cubre alquiler, alimentos y coffee break. Falta definir el lugar.</t>
        </is>
      </c>
      <c r="D3" s="8" t="inlineStr">
        <is>
          <t>UNODC</t>
        </is>
      </c>
      <c r="E3" s="8" t="inlineStr">
        <is>
          <t>En Gestión</t>
        </is>
      </c>
      <c r="F3" s="8" t="inlineStr">
        <is>
          <t>Atención</t>
        </is>
      </c>
      <c r="G3" s="8" t="n"/>
    </row>
    <row r="4" ht="34" customHeight="1">
      <c r="A4" s="8" t="inlineStr">
        <is>
          <t>P003</t>
        </is>
      </c>
      <c r="B4" s="8" t="inlineStr">
        <is>
          <t>Proyección y pantalla</t>
        </is>
      </c>
      <c r="C4" s="8" t="inlineStr">
        <is>
          <t>Por confirmar con la sede una vez definida.</t>
        </is>
      </c>
      <c r="D4" s="8" t="inlineStr">
        <is>
          <t>CGES</t>
        </is>
      </c>
      <c r="E4" s="8" t="inlineStr">
        <is>
          <t>Pendiente</t>
        </is>
      </c>
      <c r="F4" s="8" t="inlineStr">
        <is>
          <t>Atención</t>
        </is>
      </c>
      <c r="G4" s="8" t="n"/>
    </row>
    <row r="5" ht="34" customHeight="1">
      <c r="A5" s="8" t="inlineStr">
        <is>
          <t>P004</t>
        </is>
      </c>
      <c r="B5" s="8" t="inlineStr">
        <is>
          <t>Reporte institucional de la capacitación</t>
        </is>
      </c>
      <c r="C5" s="8" t="inlineStr">
        <is>
          <t>Se gestiona internamente; UNODC apoya con los insumos que se requieran.</t>
        </is>
      </c>
      <c r="D5" s="8" t="inlineStr">
        <is>
          <t>CGES</t>
        </is>
      </c>
      <c r="E5" s="8" t="inlineStr">
        <is>
          <t>En Gestión</t>
        </is>
      </c>
      <c r="F5" s="8" t="inlineStr">
        <is>
          <t>OK</t>
        </is>
      </c>
      <c r="G5" s="8" t="n"/>
    </row>
    <row r="6">
      <c r="A6" s="8" t="n"/>
      <c r="B6" s="8" t="n"/>
      <c r="C6" s="8" t="n"/>
      <c r="D6" s="8" t="n"/>
      <c r="E6" s="8" t="n"/>
      <c r="F6" s="8" t="n"/>
      <c r="G6" s="8" t="n"/>
    </row>
    <row r="7">
      <c r="A7" s="8" t="n"/>
      <c r="B7" s="8" t="n"/>
      <c r="C7" s="8" t="n"/>
      <c r="D7" s="8" t="n"/>
      <c r="E7" s="8" t="n"/>
      <c r="F7" s="8" t="n"/>
      <c r="G7" s="8" t="n"/>
    </row>
    <row r="8">
      <c r="A8" s="8" t="n"/>
      <c r="B8" s="8" t="n"/>
      <c r="C8" s="8" t="n"/>
      <c r="D8" s="8" t="n"/>
      <c r="E8" s="8" t="n"/>
      <c r="F8" s="8" t="n"/>
      <c r="G8" s="8" t="n"/>
    </row>
    <row r="9">
      <c r="A9" s="8" t="n"/>
      <c r="B9" s="8" t="n"/>
      <c r="C9" s="8" t="n"/>
      <c r="D9" s="8" t="n"/>
      <c r="E9" s="8" t="n"/>
      <c r="F9" s="8" t="n"/>
      <c r="G9" s="8" t="n"/>
    </row>
    <row r="10">
      <c r="A10" s="8" t="n"/>
      <c r="B10" s="8" t="n"/>
      <c r="C10" s="8" t="n"/>
      <c r="D10" s="8" t="n"/>
      <c r="E10" s="8" t="n"/>
      <c r="F10" s="8" t="n"/>
      <c r="G10" s="8" t="n"/>
    </row>
    <row r="11">
      <c r="A11" s="8" t="n"/>
      <c r="B11" s="8" t="n"/>
      <c r="C11" s="8" t="n"/>
      <c r="D11" s="8" t="n"/>
      <c r="E11" s="8" t="n"/>
      <c r="F11" s="8" t="n"/>
      <c r="G11" s="8" t="n"/>
    </row>
    <row r="12">
      <c r="A12" s="8" t="n"/>
      <c r="B12" s="8" t="n"/>
      <c r="C12" s="8" t="n"/>
      <c r="D12" s="8" t="n"/>
      <c r="E12" s="8" t="n"/>
      <c r="F12" s="8" t="n"/>
      <c r="G12" s="8" t="n"/>
    </row>
    <row r="13">
      <c r="A13" s="8" t="n"/>
      <c r="B13" s="8" t="n"/>
      <c r="C13" s="8" t="n"/>
      <c r="D13" s="8" t="n"/>
      <c r="E13" s="8" t="n"/>
      <c r="F13" s="8" t="n"/>
      <c r="G13" s="8" t="n"/>
    </row>
    <row r="14">
      <c r="A14" s="8" t="n"/>
      <c r="B14" s="8" t="n"/>
      <c r="C14" s="8" t="n"/>
      <c r="D14" s="8" t="n"/>
      <c r="E14" s="8" t="n"/>
      <c r="F14" s="8" t="n"/>
      <c r="G14" s="8" t="n"/>
    </row>
    <row r="15">
      <c r="A15" s="8" t="n"/>
      <c r="B15" s="8" t="n"/>
      <c r="C15" s="8" t="n"/>
      <c r="D15" s="8" t="n"/>
      <c r="E15" s="8" t="n"/>
      <c r="F15" s="8" t="n"/>
      <c r="G15" s="8" t="n"/>
    </row>
    <row r="16">
      <c r="A16" s="8" t="n"/>
      <c r="B16" s="8" t="n"/>
      <c r="C16" s="8" t="n"/>
      <c r="D16" s="8" t="n"/>
      <c r="E16" s="8" t="n"/>
      <c r="F16" s="8" t="n"/>
      <c r="G16" s="8" t="n"/>
    </row>
    <row r="17">
      <c r="A17" s="8" t="n"/>
      <c r="B17" s="8" t="n"/>
      <c r="C17" s="8" t="n"/>
      <c r="D17" s="8" t="n"/>
      <c r="E17" s="8" t="n"/>
      <c r="F17" s="8" t="n"/>
      <c r="G17" s="8" t="n"/>
    </row>
    <row r="18">
      <c r="A18" s="8" t="n"/>
      <c r="B18" s="8" t="n"/>
      <c r="C18" s="8" t="n"/>
      <c r="D18" s="8" t="n"/>
      <c r="E18" s="8" t="n"/>
      <c r="F18" s="8" t="n"/>
      <c r="G18" s="8" t="n"/>
    </row>
    <row r="19">
      <c r="A19" s="8" t="n"/>
      <c r="B19" s="8" t="n"/>
      <c r="C19" s="8" t="n"/>
      <c r="D19" s="8" t="n"/>
      <c r="E19" s="8" t="n"/>
      <c r="F19" s="8" t="n"/>
      <c r="G19" s="8" t="n"/>
    </row>
    <row r="20">
      <c r="A20" s="8" t="n"/>
      <c r="B20" s="8" t="n"/>
      <c r="C20" s="8" t="n"/>
      <c r="D20" s="8" t="n"/>
      <c r="E20" s="8" t="n"/>
      <c r="F20" s="8" t="n"/>
      <c r="G20" s="8" t="n"/>
    </row>
    <row r="21">
      <c r="A21" s="8" t="n"/>
      <c r="B21" s="8" t="n"/>
      <c r="C21" s="8" t="n"/>
      <c r="D21" s="8" t="n"/>
      <c r="E21" s="8" t="n"/>
      <c r="F21" s="8" t="n"/>
      <c r="G21" s="8" t="n"/>
    </row>
    <row r="22">
      <c r="A22" s="8" t="n"/>
      <c r="B22" s="8" t="n"/>
      <c r="C22" s="8" t="n"/>
      <c r="D22" s="8" t="n"/>
      <c r="E22" s="8" t="n"/>
      <c r="F22" s="8" t="n"/>
      <c r="G22" s="8" t="n"/>
    </row>
    <row r="23">
      <c r="A23" s="8" t="n"/>
      <c r="B23" s="8" t="n"/>
      <c r="C23" s="8" t="n"/>
      <c r="D23" s="8" t="n"/>
      <c r="E23" s="8" t="n"/>
      <c r="F23" s="8" t="n"/>
      <c r="G23" s="8" t="n"/>
    </row>
    <row r="24">
      <c r="A24" s="8" t="n"/>
      <c r="B24" s="8" t="n"/>
      <c r="C24" s="8" t="n"/>
      <c r="D24" s="8" t="n"/>
      <c r="E24" s="8" t="n"/>
      <c r="F24" s="8" t="n"/>
      <c r="G24" s="8" t="n"/>
    </row>
    <row r="25">
      <c r="A25" s="8" t="n"/>
      <c r="B25" s="8" t="n"/>
      <c r="C25" s="8" t="n"/>
      <c r="D25" s="8" t="n"/>
      <c r="E25" s="8" t="n"/>
      <c r="F25" s="8" t="n"/>
      <c r="G25" s="8" t="n"/>
    </row>
    <row r="26">
      <c r="A26" s="8" t="n"/>
      <c r="B26" s="8" t="n"/>
      <c r="C26" s="8" t="n"/>
      <c r="D26" s="8" t="n"/>
      <c r="E26" s="8" t="n"/>
      <c r="F26" s="8" t="n"/>
      <c r="G26" s="8" t="n"/>
    </row>
    <row r="27">
      <c r="A27" s="8" t="n"/>
      <c r="B27" s="8" t="n"/>
      <c r="C27" s="8" t="n"/>
      <c r="D27" s="8" t="n"/>
      <c r="E27" s="8" t="n"/>
      <c r="F27" s="8" t="n"/>
      <c r="G27" s="8" t="n"/>
    </row>
    <row r="28">
      <c r="A28" s="8" t="n"/>
      <c r="B28" s="8" t="n"/>
      <c r="C28" s="8" t="n"/>
      <c r="D28" s="8" t="n"/>
      <c r="E28" s="8" t="n"/>
      <c r="F28" s="8" t="n"/>
      <c r="G28" s="8" t="n"/>
    </row>
    <row r="29">
      <c r="A29" s="8" t="n"/>
      <c r="B29" s="8" t="n"/>
      <c r="C29" s="8" t="n"/>
      <c r="D29" s="8" t="n"/>
      <c r="E29" s="8" t="n"/>
      <c r="F29" s="8" t="n"/>
      <c r="G29" s="8" t="n"/>
    </row>
    <row r="30">
      <c r="A30" s="8" t="n"/>
      <c r="B30" s="8" t="n"/>
      <c r="C30" s="8" t="n"/>
      <c r="D30" s="8" t="n"/>
      <c r="E30" s="8" t="n"/>
      <c r="F30" s="8" t="n"/>
      <c r="G30" s="8" t="n"/>
    </row>
    <row r="31">
      <c r="A31" s="8" t="n"/>
      <c r="B31" s="8" t="n"/>
      <c r="C31" s="8" t="n"/>
      <c r="D31" s="8" t="n"/>
      <c r="E31" s="8" t="n"/>
      <c r="F31" s="8" t="n"/>
      <c r="G31" s="8" t="n"/>
    </row>
    <row r="32">
      <c r="A32" s="8" t="n"/>
      <c r="B32" s="8" t="n"/>
      <c r="C32" s="8" t="n"/>
      <c r="D32" s="8" t="n"/>
      <c r="E32" s="8" t="n"/>
      <c r="F32" s="8" t="n"/>
      <c r="G32" s="8" t="n"/>
    </row>
    <row r="33">
      <c r="A33" s="8" t="n"/>
      <c r="B33" s="8" t="n"/>
      <c r="C33" s="8" t="n"/>
      <c r="D33" s="8" t="n"/>
      <c r="E33" s="8" t="n"/>
      <c r="F33" s="8" t="n"/>
      <c r="G33" s="8" t="n"/>
    </row>
    <row r="34">
      <c r="A34" s="8" t="n"/>
      <c r="B34" s="8" t="n"/>
      <c r="C34" s="8" t="n"/>
      <c r="D34" s="8" t="n"/>
      <c r="E34" s="8" t="n"/>
      <c r="F34" s="8" t="n"/>
      <c r="G34" s="8" t="n"/>
    </row>
    <row r="35">
      <c r="A35" s="8" t="n"/>
      <c r="B35" s="8" t="n"/>
      <c r="C35" s="8" t="n"/>
      <c r="D35" s="8" t="n"/>
      <c r="E35" s="8" t="n"/>
      <c r="F35" s="8" t="n"/>
      <c r="G35" s="8" t="n"/>
    </row>
    <row r="36">
      <c r="A36" s="8" t="n"/>
      <c r="B36" s="8" t="n"/>
      <c r="C36" s="8" t="n"/>
      <c r="D36" s="8" t="n"/>
      <c r="E36" s="8" t="n"/>
      <c r="F36" s="8" t="n"/>
      <c r="G36" s="8" t="n"/>
    </row>
    <row r="37">
      <c r="A37" s="8" t="n"/>
      <c r="B37" s="8" t="n"/>
      <c r="C37" s="8" t="n"/>
      <c r="D37" s="8" t="n"/>
      <c r="E37" s="8" t="n"/>
      <c r="F37" s="8" t="n"/>
      <c r="G37" s="8" t="n"/>
    </row>
    <row r="38">
      <c r="A38" s="8" t="n"/>
      <c r="B38" s="8" t="n"/>
      <c r="C38" s="8" t="n"/>
      <c r="D38" s="8" t="n"/>
      <c r="E38" s="8" t="n"/>
      <c r="F38" s="8" t="n"/>
      <c r="G38" s="8" t="n"/>
    </row>
    <row r="39">
      <c r="A39" s="8" t="n"/>
      <c r="B39" s="8" t="n"/>
      <c r="C39" s="8" t="n"/>
      <c r="D39" s="8" t="n"/>
      <c r="E39" s="8" t="n"/>
      <c r="F39" s="8" t="n"/>
      <c r="G39" s="8" t="n"/>
    </row>
    <row r="40">
      <c r="A40" s="8" t="n"/>
      <c r="B40" s="8" t="n"/>
      <c r="C40" s="8" t="n"/>
      <c r="D40" s="8" t="n"/>
      <c r="E40" s="8" t="n"/>
      <c r="F40" s="8" t="n"/>
      <c r="G40" s="8" t="n"/>
    </row>
    <row r="41">
      <c r="A41" s="8" t="n"/>
      <c r="B41" s="8" t="n"/>
      <c r="C41" s="8" t="n"/>
      <c r="D41" s="8" t="n"/>
      <c r="E41" s="8" t="n"/>
      <c r="F41" s="8" t="n"/>
      <c r="G41" s="8" t="n"/>
    </row>
    <row r="42">
      <c r="A42" s="8" t="n"/>
      <c r="B42" s="8" t="n"/>
      <c r="C42" s="8" t="n"/>
      <c r="D42" s="8" t="n"/>
      <c r="E42" s="8" t="n"/>
      <c r="F42" s="8" t="n"/>
      <c r="G42" s="8" t="n"/>
    </row>
    <row r="43">
      <c r="A43" s="8" t="n"/>
      <c r="B43" s="8" t="n"/>
      <c r="C43" s="8" t="n"/>
      <c r="D43" s="8" t="n"/>
      <c r="E43" s="8" t="n"/>
      <c r="F43" s="8" t="n"/>
      <c r="G43" s="8" t="n"/>
    </row>
    <row r="44">
      <c r="A44" s="8" t="n"/>
      <c r="B44" s="8" t="n"/>
      <c r="C44" s="8" t="n"/>
      <c r="D44" s="8" t="n"/>
      <c r="E44" s="8" t="n"/>
      <c r="F44" s="8" t="n"/>
      <c r="G44" s="8" t="n"/>
    </row>
    <row r="45">
      <c r="A45" s="8" t="n"/>
      <c r="B45" s="8" t="n"/>
      <c r="C45" s="8" t="n"/>
      <c r="D45" s="8" t="n"/>
      <c r="E45" s="8" t="n"/>
      <c r="F45" s="8" t="n"/>
      <c r="G45" s="8" t="n"/>
    </row>
    <row r="46">
      <c r="A46" s="8" t="n"/>
      <c r="B46" s="8" t="n"/>
      <c r="C46" s="8" t="n"/>
      <c r="D46" s="8" t="n"/>
      <c r="E46" s="8" t="n"/>
      <c r="F46" s="8" t="n"/>
      <c r="G46" s="8" t="n"/>
    </row>
    <row r="47">
      <c r="A47" s="8" t="n"/>
      <c r="B47" s="8" t="n"/>
      <c r="C47" s="8" t="n"/>
      <c r="D47" s="8" t="n"/>
      <c r="E47" s="8" t="n"/>
      <c r="F47" s="8" t="n"/>
      <c r="G47" s="8" t="n"/>
    </row>
    <row r="48">
      <c r="A48" s="8" t="n"/>
      <c r="B48" s="8" t="n"/>
      <c r="C48" s="8" t="n"/>
      <c r="D48" s="8" t="n"/>
      <c r="E48" s="8" t="n"/>
      <c r="F48" s="8" t="n"/>
      <c r="G48" s="8" t="n"/>
    </row>
    <row r="49">
      <c r="A49" s="8" t="n"/>
      <c r="B49" s="8" t="n"/>
      <c r="C49" s="8" t="n"/>
      <c r="D49" s="8" t="n"/>
      <c r="E49" s="8" t="n"/>
      <c r="F49" s="8" t="n"/>
      <c r="G49" s="8" t="n"/>
    </row>
    <row r="50">
      <c r="A50" s="8" t="n"/>
      <c r="B50" s="8" t="n"/>
      <c r="C50" s="8" t="n"/>
      <c r="D50" s="8" t="n"/>
      <c r="E50" s="8" t="n"/>
      <c r="F50" s="8" t="n"/>
      <c r="G50" s="8" t="n"/>
    </row>
    <row r="51">
      <c r="A51" s="8" t="n"/>
      <c r="B51" s="8" t="n"/>
      <c r="C51" s="8" t="n"/>
      <c r="D51" s="8" t="n"/>
      <c r="E51" s="8" t="n"/>
      <c r="F51" s="8" t="n"/>
      <c r="G51" s="8" t="n"/>
    </row>
    <row r="52">
      <c r="A52" s="8" t="n"/>
      <c r="B52" s="8" t="n"/>
      <c r="C52" s="8" t="n"/>
      <c r="D52" s="8" t="n"/>
      <c r="E52" s="8" t="n"/>
      <c r="F52" s="8" t="n"/>
      <c r="G52" s="8" t="n"/>
    </row>
    <row r="53">
      <c r="A53" s="8" t="n"/>
      <c r="B53" s="8" t="n"/>
      <c r="C53" s="8" t="n"/>
      <c r="D53" s="8" t="n"/>
      <c r="E53" s="8" t="n"/>
      <c r="F53" s="8" t="n"/>
      <c r="G53" s="8" t="n"/>
    </row>
    <row r="54">
      <c r="A54" s="8" t="n"/>
      <c r="B54" s="8" t="n"/>
      <c r="C54" s="8" t="n"/>
      <c r="D54" s="8" t="n"/>
      <c r="E54" s="8" t="n"/>
      <c r="F54" s="8" t="n"/>
      <c r="G54" s="8" t="n"/>
    </row>
    <row r="55">
      <c r="A55" s="8" t="n"/>
      <c r="B55" s="8" t="n"/>
      <c r="C55" s="8" t="n"/>
      <c r="D55" s="8" t="n"/>
      <c r="E55" s="8" t="n"/>
      <c r="F55" s="8" t="n"/>
      <c r="G55" s="8" t="n"/>
    </row>
    <row r="56">
      <c r="A56" s="8" t="n"/>
      <c r="B56" s="8" t="n"/>
      <c r="C56" s="8" t="n"/>
      <c r="D56" s="8" t="n"/>
      <c r="E56" s="8" t="n"/>
      <c r="F56" s="8" t="n"/>
      <c r="G56" s="8" t="n"/>
    </row>
    <row r="57">
      <c r="A57" s="8" t="n"/>
      <c r="B57" s="8" t="n"/>
      <c r="C57" s="8" t="n"/>
      <c r="D57" s="8" t="n"/>
      <c r="E57" s="8" t="n"/>
      <c r="F57" s="8" t="n"/>
      <c r="G57" s="8" t="n"/>
    </row>
    <row r="58">
      <c r="A58" s="8" t="n"/>
      <c r="B58" s="8" t="n"/>
      <c r="C58" s="8" t="n"/>
      <c r="D58" s="8" t="n"/>
      <c r="E58" s="8" t="n"/>
      <c r="F58" s="8" t="n"/>
      <c r="G58" s="8" t="n"/>
    </row>
    <row r="59">
      <c r="A59" s="8" t="n"/>
      <c r="B59" s="8" t="n"/>
      <c r="C59" s="8" t="n"/>
      <c r="D59" s="8" t="n"/>
      <c r="E59" s="8" t="n"/>
      <c r="F59" s="8" t="n"/>
      <c r="G59" s="8" t="n"/>
    </row>
    <row r="60">
      <c r="A60" s="8" t="n"/>
      <c r="B60" s="8" t="n"/>
      <c r="C60" s="8" t="n"/>
      <c r="D60" s="8" t="n"/>
      <c r="E60" s="8" t="n"/>
      <c r="F60" s="8" t="n"/>
      <c r="G60" s="8" t="n"/>
    </row>
    <row r="61">
      <c r="A61" s="8" t="n"/>
      <c r="B61" s="8" t="n"/>
      <c r="C61" s="8" t="n"/>
      <c r="D61" s="8" t="n"/>
      <c r="E61" s="8" t="n"/>
      <c r="F61" s="8" t="n"/>
      <c r="G61" s="8" t="n"/>
    </row>
  </sheetData>
  <dataValidations count="3">
    <dataValidation sqref="D2:D61" showDropDown="0" showInputMessage="0" showErrorMessage="0" allowBlank="1" type="list">
      <formula1>Listas_Catalogos!$F$2:$F$9</formula1>
    </dataValidation>
    <dataValidation sqref="E2:E61" showDropDown="0" showInputMessage="0" showErrorMessage="0" allowBlank="1" type="list">
      <formula1>Listas_Catalogos!$G$2:$G$4</formula1>
    </dataValidation>
    <dataValidation sqref="F2:F61" showDropDown="0" showInputMessage="0" showErrorMessage="0" allowBlank="1" type="list">
      <formula1>Listas_Catalogos!$H$2:$H$4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58" customWidth="1" min="3" max="3"/>
    <col width="24" customWidth="1" min="4" max="4"/>
    <col width="18" customWidth="1" min="5" max="5"/>
    <col width="44" customWidth="1" min="6" max="6"/>
  </cols>
  <sheetData>
    <row r="1" ht="42" customHeight="1">
      <c r="A1" s="4" t="inlineStr">
        <is>
          <t>ID_Hito</t>
        </is>
      </c>
      <c r="B1" s="4" t="inlineStr">
        <is>
          <t>Fecha</t>
        </is>
      </c>
      <c r="C1" s="4" t="inlineStr">
        <is>
          <t>Actividad</t>
        </is>
      </c>
      <c r="D1" s="4" t="inlineStr">
        <is>
          <t>Responsable</t>
        </is>
      </c>
      <c r="E1" s="4" t="inlineStr">
        <is>
          <t>Estatus</t>
        </is>
      </c>
      <c r="F1" s="4" t="inlineStr">
        <is>
          <t>Notas</t>
        </is>
      </c>
    </row>
    <row r="2" ht="34" customHeight="1">
      <c r="A2" s="8" t="inlineStr">
        <is>
          <t>H001</t>
        </is>
      </c>
      <c r="B2" s="8" t="inlineStr">
        <is>
          <t>29 de julio de 2026</t>
        </is>
      </c>
      <c r="C2" s="8" t="inlineStr">
        <is>
          <t>Solicitud de vetting al personal de las unidades participantes</t>
        </is>
      </c>
      <c r="D2" s="8" t="inlineStr">
        <is>
          <t>CGES</t>
        </is>
      </c>
      <c r="E2" s="8" t="inlineStr">
        <is>
          <t>En Curso</t>
        </is>
      </c>
      <c r="F2" s="8" t="inlineStr">
        <is>
          <t>Fecha límite acordada con UNODC el 22/07/2026.</t>
        </is>
      </c>
    </row>
    <row r="3" ht="34" customHeight="1">
      <c r="A3" s="8" t="inlineStr">
        <is>
          <t>H002</t>
        </is>
      </c>
      <c r="B3" s="8" t="inlineStr">
        <is>
          <t>29 de julio de 2026</t>
        </is>
      </c>
      <c r="C3" s="8" t="inlineStr">
        <is>
          <t>Revisión del formulario de diagnóstico por tomadores de decisiones</t>
        </is>
      </c>
      <c r="D3" s="8" t="inlineStr">
        <is>
          <t>CGES</t>
        </is>
      </c>
      <c r="E3" s="8" t="inlineStr">
        <is>
          <t>En Curso</t>
        </is>
      </c>
      <c r="F3" s="8" t="inlineStr">
        <is>
          <t>Solo tomadores de decisiones, para acotar las observaciones.</t>
        </is>
      </c>
    </row>
    <row r="4" ht="34" customHeight="1">
      <c r="A4" s="8" t="inlineStr">
        <is>
          <t>H003</t>
        </is>
      </c>
      <c r="B4" s="8" t="inlineStr">
        <is>
          <t>31 de julio de 2026</t>
        </is>
      </c>
      <c r="C4" s="8" t="inlineStr">
        <is>
          <t>Confirmación de fecha y horario de la reunión presencial</t>
        </is>
      </c>
      <c r="D4" s="8" t="inlineStr">
        <is>
          <t>CGES</t>
        </is>
      </c>
      <c r="E4" s="8" t="inlineStr">
        <is>
          <t>Futuro</t>
        </is>
      </c>
      <c r="F4" s="8" t="n"/>
    </row>
    <row r="5" ht="34" customHeight="1">
      <c r="A5" s="8" t="inlineStr">
        <is>
          <t>H004</t>
        </is>
      </c>
      <c r="B5" s="8" t="inlineStr">
        <is>
          <t>Semana del 24 de agosto de 2026</t>
        </is>
      </c>
      <c r="C5" s="8" t="inlineStr">
        <is>
          <t>Reunión presencial con personal clave y mesas de trabajo</t>
        </is>
      </c>
      <c r="D5" s="8" t="inlineStr">
        <is>
          <t>UNODC</t>
        </is>
      </c>
      <c r="E5" s="8" t="inlineStr">
        <is>
          <t>Futuro</t>
        </is>
      </c>
      <c r="F5" s="8" t="inlineStr">
        <is>
          <t>Sede externa, alimentos y catering a cargo de UNODC.</t>
        </is>
      </c>
    </row>
    <row r="6" ht="34" customHeight="1">
      <c r="A6" s="8" t="inlineStr">
        <is>
          <t>H005</t>
        </is>
      </c>
      <c r="B6" s="8" t="inlineStr">
        <is>
          <t>Septiembre de 2026</t>
        </is>
      </c>
      <c r="C6" s="8" t="inlineStr">
        <is>
          <t>Aplicación en línea del formulario a todas las unidades</t>
        </is>
      </c>
      <c r="D6" s="8" t="inlineStr">
        <is>
          <t>UNODC</t>
        </is>
      </c>
      <c r="E6" s="8" t="inlineStr">
        <is>
          <t>Futuro</t>
        </is>
      </c>
      <c r="F6" s="8" t="n"/>
    </row>
    <row r="7">
      <c r="A7" s="8" t="n"/>
      <c r="B7" s="8" t="n"/>
      <c r="C7" s="8" t="n"/>
      <c r="D7" s="8" t="n"/>
      <c r="E7" s="8" t="n"/>
      <c r="F7" s="8" t="n"/>
    </row>
    <row r="8">
      <c r="A8" s="8" t="n"/>
      <c r="B8" s="8" t="n"/>
      <c r="C8" s="8" t="n"/>
      <c r="D8" s="8" t="n"/>
      <c r="E8" s="8" t="n"/>
      <c r="F8" s="8" t="n"/>
    </row>
    <row r="9">
      <c r="A9" s="8" t="n"/>
      <c r="B9" s="8" t="n"/>
      <c r="C9" s="8" t="n"/>
      <c r="D9" s="8" t="n"/>
      <c r="E9" s="8" t="n"/>
      <c r="F9" s="8" t="n"/>
    </row>
    <row r="10">
      <c r="A10" s="8" t="n"/>
      <c r="B10" s="8" t="n"/>
      <c r="C10" s="8" t="n"/>
      <c r="D10" s="8" t="n"/>
      <c r="E10" s="8" t="n"/>
      <c r="F10" s="8" t="n"/>
    </row>
    <row r="11">
      <c r="A11" s="8" t="n"/>
      <c r="B11" s="8" t="n"/>
      <c r="C11" s="8" t="n"/>
      <c r="D11" s="8" t="n"/>
      <c r="E11" s="8" t="n"/>
      <c r="F11" s="8" t="n"/>
    </row>
    <row r="12">
      <c r="A12" s="8" t="n"/>
      <c r="B12" s="8" t="n"/>
      <c r="C12" s="8" t="n"/>
      <c r="D12" s="8" t="n"/>
      <c r="E12" s="8" t="n"/>
      <c r="F12" s="8" t="n"/>
    </row>
    <row r="13">
      <c r="A13" s="8" t="n"/>
      <c r="B13" s="8" t="n"/>
      <c r="C13" s="8" t="n"/>
      <c r="D13" s="8" t="n"/>
      <c r="E13" s="8" t="n"/>
      <c r="F13" s="8" t="n"/>
    </row>
    <row r="14">
      <c r="A14" s="8" t="n"/>
      <c r="B14" s="8" t="n"/>
      <c r="C14" s="8" t="n"/>
      <c r="D14" s="8" t="n"/>
      <c r="E14" s="8" t="n"/>
      <c r="F14" s="8" t="n"/>
    </row>
    <row r="15">
      <c r="A15" s="8" t="n"/>
      <c r="B15" s="8" t="n"/>
      <c r="C15" s="8" t="n"/>
      <c r="D15" s="8" t="n"/>
      <c r="E15" s="8" t="n"/>
      <c r="F15" s="8" t="n"/>
    </row>
    <row r="16">
      <c r="A16" s="8" t="n"/>
      <c r="B16" s="8" t="n"/>
      <c r="C16" s="8" t="n"/>
      <c r="D16" s="8" t="n"/>
      <c r="E16" s="8" t="n"/>
      <c r="F16" s="8" t="n"/>
    </row>
    <row r="17">
      <c r="A17" s="8" t="n"/>
      <c r="B17" s="8" t="n"/>
      <c r="C17" s="8" t="n"/>
      <c r="D17" s="8" t="n"/>
      <c r="E17" s="8" t="n"/>
      <c r="F17" s="8" t="n"/>
    </row>
    <row r="18">
      <c r="A18" s="8" t="n"/>
      <c r="B18" s="8" t="n"/>
      <c r="C18" s="8" t="n"/>
      <c r="D18" s="8" t="n"/>
      <c r="E18" s="8" t="n"/>
      <c r="F18" s="8" t="n"/>
    </row>
    <row r="19">
      <c r="A19" s="8" t="n"/>
      <c r="B19" s="8" t="n"/>
      <c r="C19" s="8" t="n"/>
      <c r="D19" s="8" t="n"/>
      <c r="E19" s="8" t="n"/>
      <c r="F19" s="8" t="n"/>
    </row>
    <row r="20">
      <c r="A20" s="8" t="n"/>
      <c r="B20" s="8" t="n"/>
      <c r="C20" s="8" t="n"/>
      <c r="D20" s="8" t="n"/>
      <c r="E20" s="8" t="n"/>
      <c r="F20" s="8" t="n"/>
    </row>
    <row r="21">
      <c r="A21" s="8" t="n"/>
      <c r="B21" s="8" t="n"/>
      <c r="C21" s="8" t="n"/>
      <c r="D21" s="8" t="n"/>
      <c r="E21" s="8" t="n"/>
      <c r="F21" s="8" t="n"/>
    </row>
    <row r="22">
      <c r="A22" s="8" t="n"/>
      <c r="B22" s="8" t="n"/>
      <c r="C22" s="8" t="n"/>
      <c r="D22" s="8" t="n"/>
      <c r="E22" s="8" t="n"/>
      <c r="F22" s="8" t="n"/>
    </row>
    <row r="23">
      <c r="A23" s="8" t="n"/>
      <c r="B23" s="8" t="n"/>
      <c r="C23" s="8" t="n"/>
      <c r="D23" s="8" t="n"/>
      <c r="E23" s="8" t="n"/>
      <c r="F23" s="8" t="n"/>
    </row>
    <row r="24">
      <c r="A24" s="8" t="n"/>
      <c r="B24" s="8" t="n"/>
      <c r="C24" s="8" t="n"/>
      <c r="D24" s="8" t="n"/>
      <c r="E24" s="8" t="n"/>
      <c r="F24" s="8" t="n"/>
    </row>
    <row r="25">
      <c r="A25" s="8" t="n"/>
      <c r="B25" s="8" t="n"/>
      <c r="C25" s="8" t="n"/>
      <c r="D25" s="8" t="n"/>
      <c r="E25" s="8" t="n"/>
      <c r="F25" s="8" t="n"/>
    </row>
    <row r="26">
      <c r="A26" s="8" t="n"/>
      <c r="B26" s="8" t="n"/>
      <c r="C26" s="8" t="n"/>
      <c r="D26" s="8" t="n"/>
      <c r="E26" s="8" t="n"/>
      <c r="F26" s="8" t="n"/>
    </row>
    <row r="27">
      <c r="A27" s="8" t="n"/>
      <c r="B27" s="8" t="n"/>
      <c r="C27" s="8" t="n"/>
      <c r="D27" s="8" t="n"/>
      <c r="E27" s="8" t="n"/>
      <c r="F27" s="8" t="n"/>
    </row>
    <row r="28">
      <c r="A28" s="8" t="n"/>
      <c r="B28" s="8" t="n"/>
      <c r="C28" s="8" t="n"/>
      <c r="D28" s="8" t="n"/>
      <c r="E28" s="8" t="n"/>
      <c r="F28" s="8" t="n"/>
    </row>
    <row r="29">
      <c r="A29" s="8" t="n"/>
      <c r="B29" s="8" t="n"/>
      <c r="C29" s="8" t="n"/>
      <c r="D29" s="8" t="n"/>
      <c r="E29" s="8" t="n"/>
      <c r="F29" s="8" t="n"/>
    </row>
    <row r="30">
      <c r="A30" s="8" t="n"/>
      <c r="B30" s="8" t="n"/>
      <c r="C30" s="8" t="n"/>
      <c r="D30" s="8" t="n"/>
      <c r="E30" s="8" t="n"/>
      <c r="F30" s="8" t="n"/>
    </row>
    <row r="31">
      <c r="A31" s="8" t="n"/>
      <c r="B31" s="8" t="n"/>
      <c r="C31" s="8" t="n"/>
      <c r="D31" s="8" t="n"/>
      <c r="E31" s="8" t="n"/>
      <c r="F31" s="8" t="n"/>
    </row>
    <row r="32">
      <c r="A32" s="8" t="n"/>
      <c r="B32" s="8" t="n"/>
      <c r="C32" s="8" t="n"/>
      <c r="D32" s="8" t="n"/>
      <c r="E32" s="8" t="n"/>
      <c r="F32" s="8" t="n"/>
    </row>
    <row r="33">
      <c r="A33" s="8" t="n"/>
      <c r="B33" s="8" t="n"/>
      <c r="C33" s="8" t="n"/>
      <c r="D33" s="8" t="n"/>
      <c r="E33" s="8" t="n"/>
      <c r="F33" s="8" t="n"/>
    </row>
    <row r="34">
      <c r="A34" s="8" t="n"/>
      <c r="B34" s="8" t="n"/>
      <c r="C34" s="8" t="n"/>
      <c r="D34" s="8" t="n"/>
      <c r="E34" s="8" t="n"/>
      <c r="F34" s="8" t="n"/>
    </row>
    <row r="35">
      <c r="A35" s="8" t="n"/>
      <c r="B35" s="8" t="n"/>
      <c r="C35" s="8" t="n"/>
      <c r="D35" s="8" t="n"/>
      <c r="E35" s="8" t="n"/>
      <c r="F35" s="8" t="n"/>
    </row>
    <row r="36">
      <c r="A36" s="8" t="n"/>
      <c r="B36" s="8" t="n"/>
      <c r="C36" s="8" t="n"/>
      <c r="D36" s="8" t="n"/>
      <c r="E36" s="8" t="n"/>
      <c r="F36" s="8" t="n"/>
    </row>
    <row r="37">
      <c r="A37" s="8" t="n"/>
      <c r="B37" s="8" t="n"/>
      <c r="C37" s="8" t="n"/>
      <c r="D37" s="8" t="n"/>
      <c r="E37" s="8" t="n"/>
      <c r="F37" s="8" t="n"/>
    </row>
    <row r="38">
      <c r="A38" s="8" t="n"/>
      <c r="B38" s="8" t="n"/>
      <c r="C38" s="8" t="n"/>
      <c r="D38" s="8" t="n"/>
      <c r="E38" s="8" t="n"/>
      <c r="F38" s="8" t="n"/>
    </row>
    <row r="39">
      <c r="A39" s="8" t="n"/>
      <c r="B39" s="8" t="n"/>
      <c r="C39" s="8" t="n"/>
      <c r="D39" s="8" t="n"/>
      <c r="E39" s="8" t="n"/>
      <c r="F39" s="8" t="n"/>
    </row>
    <row r="40">
      <c r="A40" s="8" t="n"/>
      <c r="B40" s="8" t="n"/>
      <c r="C40" s="8" t="n"/>
      <c r="D40" s="8" t="n"/>
      <c r="E40" s="8" t="n"/>
      <c r="F40" s="8" t="n"/>
    </row>
    <row r="41">
      <c r="A41" s="8" t="n"/>
      <c r="B41" s="8" t="n"/>
      <c r="C41" s="8" t="n"/>
      <c r="D41" s="8" t="n"/>
      <c r="E41" s="8" t="n"/>
      <c r="F41" s="8" t="n"/>
    </row>
    <row r="42">
      <c r="A42" s="8" t="n"/>
      <c r="B42" s="8" t="n"/>
      <c r="C42" s="8" t="n"/>
      <c r="D42" s="8" t="n"/>
      <c r="E42" s="8" t="n"/>
      <c r="F42" s="8" t="n"/>
    </row>
    <row r="43">
      <c r="A43" s="8" t="n"/>
      <c r="B43" s="8" t="n"/>
      <c r="C43" s="8" t="n"/>
      <c r="D43" s="8" t="n"/>
      <c r="E43" s="8" t="n"/>
      <c r="F43" s="8" t="n"/>
    </row>
    <row r="44">
      <c r="A44" s="8" t="n"/>
      <c r="B44" s="8" t="n"/>
      <c r="C44" s="8" t="n"/>
      <c r="D44" s="8" t="n"/>
      <c r="E44" s="8" t="n"/>
      <c r="F44" s="8" t="n"/>
    </row>
    <row r="45">
      <c r="A45" s="8" t="n"/>
      <c r="B45" s="8" t="n"/>
      <c r="C45" s="8" t="n"/>
      <c r="D45" s="8" t="n"/>
      <c r="E45" s="8" t="n"/>
      <c r="F45" s="8" t="n"/>
    </row>
    <row r="46">
      <c r="A46" s="8" t="n"/>
      <c r="B46" s="8" t="n"/>
      <c r="C46" s="8" t="n"/>
      <c r="D46" s="8" t="n"/>
      <c r="E46" s="8" t="n"/>
      <c r="F46" s="8" t="n"/>
    </row>
    <row r="47">
      <c r="A47" s="8" t="n"/>
      <c r="B47" s="8" t="n"/>
      <c r="C47" s="8" t="n"/>
      <c r="D47" s="8" t="n"/>
      <c r="E47" s="8" t="n"/>
      <c r="F47" s="8" t="n"/>
    </row>
    <row r="48">
      <c r="A48" s="8" t="n"/>
      <c r="B48" s="8" t="n"/>
      <c r="C48" s="8" t="n"/>
      <c r="D48" s="8" t="n"/>
      <c r="E48" s="8" t="n"/>
      <c r="F48" s="8" t="n"/>
    </row>
    <row r="49">
      <c r="A49" s="8" t="n"/>
      <c r="B49" s="8" t="n"/>
      <c r="C49" s="8" t="n"/>
      <c r="D49" s="8" t="n"/>
      <c r="E49" s="8" t="n"/>
      <c r="F49" s="8" t="n"/>
    </row>
    <row r="50">
      <c r="A50" s="8" t="n"/>
      <c r="B50" s="8" t="n"/>
      <c r="C50" s="8" t="n"/>
      <c r="D50" s="8" t="n"/>
      <c r="E50" s="8" t="n"/>
      <c r="F50" s="8" t="n"/>
    </row>
    <row r="51">
      <c r="A51" s="8" t="n"/>
      <c r="B51" s="8" t="n"/>
      <c r="C51" s="8" t="n"/>
      <c r="D51" s="8" t="n"/>
      <c r="E51" s="8" t="n"/>
      <c r="F51" s="8" t="n"/>
    </row>
    <row r="52">
      <c r="A52" s="8" t="n"/>
      <c r="B52" s="8" t="n"/>
      <c r="C52" s="8" t="n"/>
      <c r="D52" s="8" t="n"/>
      <c r="E52" s="8" t="n"/>
      <c r="F52" s="8" t="n"/>
    </row>
    <row r="53">
      <c r="A53" s="8" t="n"/>
      <c r="B53" s="8" t="n"/>
      <c r="C53" s="8" t="n"/>
      <c r="D53" s="8" t="n"/>
      <c r="E53" s="8" t="n"/>
      <c r="F53" s="8" t="n"/>
    </row>
    <row r="54">
      <c r="A54" s="8" t="n"/>
      <c r="B54" s="8" t="n"/>
      <c r="C54" s="8" t="n"/>
      <c r="D54" s="8" t="n"/>
      <c r="E54" s="8" t="n"/>
      <c r="F54" s="8" t="n"/>
    </row>
    <row r="55">
      <c r="A55" s="8" t="n"/>
      <c r="B55" s="8" t="n"/>
      <c r="C55" s="8" t="n"/>
      <c r="D55" s="8" t="n"/>
      <c r="E55" s="8" t="n"/>
      <c r="F55" s="8" t="n"/>
    </row>
    <row r="56">
      <c r="A56" s="8" t="n"/>
      <c r="B56" s="8" t="n"/>
      <c r="C56" s="8" t="n"/>
      <c r="D56" s="8" t="n"/>
      <c r="E56" s="8" t="n"/>
      <c r="F56" s="8" t="n"/>
    </row>
    <row r="57">
      <c r="A57" s="8" t="n"/>
      <c r="B57" s="8" t="n"/>
      <c r="C57" s="8" t="n"/>
      <c r="D57" s="8" t="n"/>
      <c r="E57" s="8" t="n"/>
      <c r="F57" s="8" t="n"/>
    </row>
    <row r="58">
      <c r="A58" s="8" t="n"/>
      <c r="B58" s="8" t="n"/>
      <c r="C58" s="8" t="n"/>
      <c r="D58" s="8" t="n"/>
      <c r="E58" s="8" t="n"/>
      <c r="F58" s="8" t="n"/>
    </row>
    <row r="59">
      <c r="A59" s="8" t="n"/>
      <c r="B59" s="8" t="n"/>
      <c r="C59" s="8" t="n"/>
      <c r="D59" s="8" t="n"/>
      <c r="E59" s="8" t="n"/>
      <c r="F59" s="8" t="n"/>
    </row>
    <row r="60">
      <c r="A60" s="8" t="n"/>
      <c r="B60" s="8" t="n"/>
      <c r="C60" s="8" t="n"/>
      <c r="D60" s="8" t="n"/>
      <c r="E60" s="8" t="n"/>
      <c r="F60" s="8" t="n"/>
    </row>
    <row r="61">
      <c r="A61" s="8" t="n"/>
      <c r="B61" s="8" t="n"/>
      <c r="C61" s="8" t="n"/>
      <c r="D61" s="8" t="n"/>
      <c r="E61" s="8" t="n"/>
      <c r="F61" s="8" t="n"/>
    </row>
  </sheetData>
  <dataValidations count="2">
    <dataValidation sqref="D2:D61" showDropDown="0" showInputMessage="0" showErrorMessage="0" allowBlank="1" type="list">
      <formula1>Listas_Catalogos!$F$2:$F$9</formula1>
    </dataValidation>
    <dataValidation sqref="E2:E61" showDropDown="0" showInputMessage="0" showErrorMessage="0" allowBlank="1" type="list">
      <formula1>Listas_Catalogos!$I$2:$I$4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62" customWidth="1" min="3" max="3"/>
    <col width="16" customWidth="1" min="4" max="4"/>
  </cols>
  <sheetData>
    <row r="1" ht="42" customHeight="1">
      <c r="A1" s="4" t="inlineStr">
        <is>
          <t>Parametro</t>
        </is>
      </c>
      <c r="B1" s="4" t="inlineStr">
        <is>
          <t>Valor</t>
        </is>
      </c>
      <c r="C1" s="4" t="inlineStr">
        <is>
          <t>Descripcion</t>
        </is>
      </c>
      <c r="D1" s="4" t="inlineStr">
        <is>
          <t>Tipo</t>
        </is>
      </c>
    </row>
    <row r="2" ht="34" customHeight="1">
      <c r="A2" s="8" t="inlineStr">
        <is>
          <t>CUOTA_POR_DEPENDENCIA</t>
        </is>
      </c>
      <c r="B2" s="25" t="n">
        <v>2</v>
      </c>
      <c r="C2" s="8" t="inlineStr">
        <is>
          <t>Propuestas mínimas esperadas por dependencia</t>
        </is>
      </c>
      <c r="D2" s="8" t="inlineStr">
        <is>
          <t>Número</t>
        </is>
      </c>
    </row>
    <row r="3" ht="34" customHeight="1">
      <c r="A3" s="8" t="inlineStr">
        <is>
          <t>META_DIAGNOSTICO</t>
        </is>
      </c>
      <c r="B3" s="25" t="n">
        <v>25</v>
      </c>
      <c r="C3" s="8" t="inlineStr">
        <is>
          <t>Cuestionarios de diagnóstico previstos en Jalisco</t>
        </is>
      </c>
      <c r="D3" s="8" t="inlineStr">
        <is>
          <t>Número</t>
        </is>
      </c>
    </row>
    <row r="4" ht="34" customHeight="1">
      <c r="A4" s="8" t="inlineStr">
        <is>
          <t>FECHA_LIMITE_VETTING</t>
        </is>
      </c>
      <c r="B4" s="26" t="n">
        <v>46232</v>
      </c>
      <c r="C4" s="8" t="inlineStr">
        <is>
          <t>Fecha límite de envío de propuestas de vetting</t>
        </is>
      </c>
      <c r="D4" s="8" t="inlineStr">
        <is>
          <t>Fecha</t>
        </is>
      </c>
    </row>
    <row r="5" ht="34" customHeight="1">
      <c r="A5" s="8" t="inlineStr">
        <is>
          <t>DIAS_CRITICOS</t>
        </is>
      </c>
      <c r="B5" s="25" t="n">
        <v>3</v>
      </c>
      <c r="C5" s="8" t="inlineStr">
        <is>
          <t>Días restantes para considerar la alerta como crítica</t>
        </is>
      </c>
      <c r="D5" s="8" t="inlineStr">
        <is>
          <t>Número</t>
        </is>
      </c>
    </row>
    <row r="6" ht="34" customHeight="1">
      <c r="A6" s="8" t="inlineStr">
        <is>
          <t>DIAS_ATENCION</t>
        </is>
      </c>
      <c r="B6" s="25" t="n">
        <v>10</v>
      </c>
      <c r="C6" s="8" t="inlineStr">
        <is>
          <t>Días restantes para considerar la alerta como de atención</t>
        </is>
      </c>
      <c r="D6" s="8" t="inlineStr">
        <is>
          <t>Número</t>
        </is>
      </c>
    </row>
    <row r="7">
      <c r="A7" s="8" t="n"/>
      <c r="B7" s="8" t="n"/>
      <c r="C7" s="8" t="n"/>
      <c r="D7" s="8" t="n"/>
    </row>
    <row r="8">
      <c r="A8" s="8" t="n"/>
      <c r="B8" s="8" t="n"/>
      <c r="C8" s="8" t="n"/>
      <c r="D8" s="8" t="n"/>
    </row>
    <row r="9">
      <c r="A9" s="8" t="n"/>
      <c r="B9" s="8" t="n"/>
      <c r="C9" s="8" t="n"/>
      <c r="D9" s="8" t="n"/>
    </row>
    <row r="10">
      <c r="A10" s="8" t="n"/>
      <c r="B10" s="8" t="n"/>
      <c r="C10" s="8" t="n"/>
      <c r="D10" s="8" t="n"/>
    </row>
    <row r="11">
      <c r="A11" s="8" t="n"/>
      <c r="B11" s="8" t="n"/>
      <c r="C11" s="8" t="n"/>
      <c r="D11" s="8" t="n"/>
    </row>
    <row r="12">
      <c r="A12" s="8" t="n"/>
      <c r="B12" s="8" t="n"/>
      <c r="C12" s="8" t="n"/>
      <c r="D12" s="8" t="n"/>
    </row>
    <row r="13">
      <c r="A13" s="8" t="n"/>
      <c r="B13" s="8" t="n"/>
      <c r="C13" s="8" t="n"/>
      <c r="D13" s="8" t="n"/>
    </row>
    <row r="14">
      <c r="A14" s="8" t="n"/>
      <c r="B14" s="8" t="n"/>
      <c r="C14" s="8" t="n"/>
      <c r="D14" s="8" t="n"/>
    </row>
    <row r="15">
      <c r="A15" s="8" t="n"/>
      <c r="B15" s="8" t="n"/>
      <c r="C15" s="8" t="n"/>
      <c r="D15" s="8" t="n"/>
    </row>
    <row r="16">
      <c r="A16" s="8" t="n"/>
      <c r="B16" s="8" t="n"/>
      <c r="C16" s="8" t="n"/>
      <c r="D16" s="8" t="n"/>
    </row>
    <row r="17">
      <c r="A17" s="8" t="n"/>
      <c r="B17" s="8" t="n"/>
      <c r="C17" s="8" t="n"/>
      <c r="D17" s="8" t="n"/>
    </row>
    <row r="18">
      <c r="A18" s="8" t="n"/>
      <c r="B18" s="8" t="n"/>
      <c r="C18" s="8" t="n"/>
      <c r="D18" s="8" t="n"/>
    </row>
    <row r="19">
      <c r="A19" s="8" t="n"/>
      <c r="B19" s="8" t="n"/>
      <c r="C19" s="8" t="n"/>
      <c r="D19" s="8" t="n"/>
    </row>
    <row r="20">
      <c r="A20" s="8" t="n"/>
      <c r="B20" s="8" t="n"/>
      <c r="C20" s="8" t="n"/>
      <c r="D20" s="8" t="n"/>
    </row>
    <row r="21">
      <c r="A21" s="8" t="n"/>
      <c r="B21" s="8" t="n"/>
      <c r="C21" s="8" t="n"/>
      <c r="D21" s="8" t="n"/>
    </row>
  </sheetData>
  <dataValidations count="1">
    <dataValidation sqref="D2:D21" showDropDown="0" showInputMessage="0" showErrorMessage="0" allowBlank="1" type="list">
      <formula1>Listas_Catalogos!$J$2:$J$5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96" customWidth="1" min="2" max="2"/>
  </cols>
  <sheetData>
    <row r="1" ht="42" customHeight="1">
      <c r="A1" s="4" t="inlineStr">
        <is>
          <t>Campo</t>
        </is>
      </c>
      <c r="B1" s="4" t="inlineStr">
        <is>
          <t>Valor</t>
        </is>
      </c>
    </row>
    <row r="2" ht="34" customHeight="1">
      <c r="A2" s="8" t="inlineStr">
        <is>
          <t>Titulo_Proyecto</t>
        </is>
      </c>
      <c r="B2" s="8" t="inlineStr">
        <is>
          <t>RASTROS</t>
        </is>
      </c>
    </row>
    <row r="3" ht="34" customHeight="1">
      <c r="A3" s="8" t="inlineStr">
        <is>
          <t>Subtitulo</t>
        </is>
      </c>
      <c r="B3" s="8" t="inlineStr">
        <is>
          <t>Panel ejecutivo del Enlace Coordinador · Coordinación General Estratégica de Seguridad</t>
        </is>
      </c>
    </row>
    <row r="4" ht="34" customHeight="1">
      <c r="A4" s="8" t="inlineStr">
        <is>
          <t>Fase_Actual</t>
        </is>
      </c>
      <c r="B4" s="8" t="inlineStr">
        <is>
          <t>Convocatoria de vetting y diagnóstico inicial</t>
        </is>
      </c>
    </row>
    <row r="5" ht="34" customHeight="1">
      <c r="A5" s="8" t="inlineStr">
        <is>
          <t>Periodo</t>
        </is>
      </c>
      <c r="B5" s="8" t="inlineStr">
        <is>
          <t>Julio – Agosto 2026</t>
        </is>
      </c>
    </row>
    <row r="6" ht="34" customHeight="1">
      <c r="A6" s="8" t="inlineStr">
        <is>
          <t>Paises</t>
        </is>
      </c>
      <c r="B6" s="8" t="inlineStr">
        <is>
          <t>México (Jalisco) · Guatemala · Perú</t>
        </is>
      </c>
    </row>
    <row r="7" ht="34" customHeight="1">
      <c r="A7" s="8" t="inlineStr">
        <is>
          <t>Donante</t>
        </is>
      </c>
      <c r="B7" s="8" t="inlineStr">
        <is>
          <t>Departamento de Estado de EE. UU.</t>
        </is>
      </c>
    </row>
    <row r="8" ht="34" customHeight="1">
      <c r="A8" s="8" t="inlineStr">
        <is>
          <t>Institucion_Ejecutora</t>
        </is>
      </c>
      <c r="B8" s="8" t="inlineStr">
        <is>
          <t>UNODC</t>
        </is>
      </c>
    </row>
    <row r="9" ht="34" customHeight="1">
      <c r="A9" s="8" t="inlineStr">
        <is>
          <t>Institucion_Contraparte</t>
        </is>
      </c>
      <c r="B9" s="8" t="inlineStr">
        <is>
          <t>Gobierno del Estado de Jalisco</t>
        </is>
      </c>
    </row>
    <row r="10">
      <c r="A10" s="8" t="n"/>
      <c r="B10" s="8" t="n"/>
    </row>
    <row r="11">
      <c r="A11" s="8" t="n"/>
      <c r="B11" s="8" t="n"/>
    </row>
    <row r="12">
      <c r="A12" s="8" t="n"/>
      <c r="B12" s="8" t="n"/>
    </row>
    <row r="13">
      <c r="A13" s="8" t="n"/>
      <c r="B13" s="8" t="n"/>
    </row>
    <row r="14">
      <c r="A14" s="8" t="n"/>
      <c r="B14" s="8" t="n"/>
    </row>
    <row r="15">
      <c r="A15" s="8" t="n"/>
      <c r="B15" s="8" t="n"/>
    </row>
    <row r="16">
      <c r="A16" s="8" t="n"/>
      <c r="B16" s="8" t="n"/>
    </row>
    <row r="17">
      <c r="A17" s="8" t="n"/>
      <c r="B17" s="8" t="n"/>
    </row>
    <row r="18">
      <c r="A18" s="8" t="n"/>
      <c r="B18" s="8" t="n"/>
    </row>
    <row r="19">
      <c r="A19" s="8" t="n"/>
      <c r="B19" s="8" t="n"/>
    </row>
    <row r="20">
      <c r="A20" s="8" t="n"/>
      <c r="B20" s="8" t="n"/>
    </row>
    <row r="21">
      <c r="A21" s="8" t="n"/>
      <c r="B21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2026-07-24T17:50:46Z</dcterms:created>
  <dcterms:modified xmlns:dcterms="http://purl.org/dc/terms/" xmlns:xsi="http://www.w3.org/2001/XMLSchema-instance" xsi:type="dcterms:W3CDTF">2026-07-24T17:50:46Z</dcterms:modified>
</cp:coreProperties>
</file>